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akzonobel-my.sharepoint.com/personal/gabriel_zenobi_akzonobel_com/Documents/Desktop/Proyectos en CURSO - CLAUDE/COLORES - Costeo/"/>
    </mc:Choice>
  </mc:AlternateContent>
  <xr:revisionPtr revIDLastSave="188" documentId="8_{C572BADD-2732-4436-920C-F6EB8FF9E560}" xr6:coauthVersionLast="47" xr6:coauthVersionMax="47" xr10:uidLastSave="{4AE47622-EE05-4BCA-8DB5-07EC45DB891B}"/>
  <bookViews>
    <workbookView xWindow="-108" yWindow="-108" windowWidth="23256" windowHeight="12456" xr2:uid="{00000000-000D-0000-FFFF-FFFF00000000}"/>
  </bookViews>
  <sheets>
    <sheet name="Materiales IP" sheetId="1" r:id="rId1"/>
    <sheet name="Hoja1" sheetId="2" r:id="rId2"/>
  </sheets>
  <externalReferences>
    <externalReference r:id="rId3"/>
  </externalReferences>
  <definedNames>
    <definedName name="_xlnm._FilterDatabase" localSheetId="0" hidden="1">'Materiales IP'!$B$3:$L$78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1" l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N4" i="1" l="1"/>
  <c r="O4" i="1" s="1"/>
  <c r="N5" i="1"/>
  <c r="O5" i="1" s="1"/>
  <c r="N6" i="1"/>
  <c r="O6" i="1" s="1"/>
  <c r="N7" i="1"/>
  <c r="O7" i="1" s="1"/>
  <c r="N8" i="1"/>
  <c r="O8" i="1" s="1"/>
  <c r="N9" i="1"/>
  <c r="O9" i="1" s="1"/>
  <c r="N10" i="1"/>
  <c r="O10" i="1" s="1"/>
  <c r="N11" i="1"/>
  <c r="O11" i="1" s="1"/>
  <c r="N12" i="1"/>
  <c r="O12" i="1" s="1"/>
  <c r="N13" i="1"/>
  <c r="O13" i="1" s="1"/>
  <c r="N14" i="1"/>
  <c r="O14" i="1" s="1"/>
  <c r="N15" i="1"/>
  <c r="O15" i="1" s="1"/>
  <c r="N16" i="1"/>
  <c r="O16" i="1" s="1"/>
  <c r="N17" i="1"/>
  <c r="O17" i="1" s="1"/>
  <c r="N18" i="1"/>
  <c r="O18" i="1" s="1"/>
  <c r="N19" i="1"/>
  <c r="O19" i="1" s="1"/>
  <c r="N20" i="1"/>
  <c r="O20" i="1" s="1"/>
  <c r="N21" i="1"/>
  <c r="O21" i="1" s="1"/>
  <c r="N22" i="1"/>
  <c r="O22" i="1" s="1"/>
  <c r="N23" i="1"/>
  <c r="O23" i="1" s="1"/>
  <c r="N24" i="1"/>
  <c r="O24" i="1" s="1"/>
  <c r="N25" i="1"/>
  <c r="O25" i="1" s="1"/>
  <c r="N26" i="1"/>
  <c r="O26" i="1" s="1"/>
  <c r="N27" i="1"/>
  <c r="O27" i="1" s="1"/>
  <c r="N28" i="1"/>
  <c r="O28" i="1" s="1"/>
  <c r="N29" i="1"/>
  <c r="O29" i="1" s="1"/>
  <c r="N30" i="1"/>
  <c r="O30" i="1" s="1"/>
  <c r="N31" i="1"/>
  <c r="O31" i="1" s="1"/>
  <c r="N32" i="1"/>
  <c r="O32" i="1" s="1"/>
  <c r="N33" i="1"/>
  <c r="O33" i="1" s="1"/>
  <c r="N34" i="1"/>
  <c r="O34" i="1" s="1"/>
  <c r="N35" i="1"/>
  <c r="O35" i="1" s="1"/>
  <c r="N36" i="1"/>
  <c r="O36" i="1" s="1"/>
  <c r="N37" i="1"/>
  <c r="O37" i="1" s="1"/>
  <c r="N38" i="1"/>
  <c r="O38" i="1" s="1"/>
  <c r="N39" i="1"/>
  <c r="O39" i="1" s="1"/>
  <c r="N40" i="1"/>
  <c r="O40" i="1" s="1"/>
  <c r="N41" i="1"/>
  <c r="O41" i="1" s="1"/>
  <c r="N42" i="1"/>
  <c r="O42" i="1" s="1"/>
  <c r="N43" i="1"/>
  <c r="O43" i="1" s="1"/>
  <c r="N44" i="1"/>
  <c r="O44" i="1" s="1"/>
  <c r="N45" i="1"/>
  <c r="O45" i="1" s="1"/>
  <c r="N46" i="1"/>
  <c r="O46" i="1" s="1"/>
  <c r="N47" i="1"/>
  <c r="O47" i="1" s="1"/>
  <c r="N48" i="1"/>
  <c r="O48" i="1" s="1"/>
  <c r="N49" i="1"/>
  <c r="O49" i="1" s="1"/>
  <c r="N50" i="1"/>
  <c r="O50" i="1" s="1"/>
  <c r="N51" i="1"/>
  <c r="O51" i="1" s="1"/>
  <c r="N52" i="1"/>
  <c r="O52" i="1" s="1"/>
  <c r="N53" i="1"/>
  <c r="O53" i="1" s="1"/>
  <c r="N54" i="1"/>
  <c r="O54" i="1" s="1"/>
  <c r="N55" i="1"/>
  <c r="O55" i="1" s="1"/>
  <c r="N56" i="1"/>
  <c r="O56" i="1" s="1"/>
  <c r="N57" i="1"/>
  <c r="O57" i="1" s="1"/>
  <c r="N58" i="1"/>
  <c r="O58" i="1" s="1"/>
  <c r="N59" i="1"/>
  <c r="O59" i="1" s="1"/>
  <c r="N60" i="1"/>
  <c r="O60" i="1" s="1"/>
  <c r="N61" i="1"/>
  <c r="O61" i="1" s="1"/>
  <c r="N62" i="1"/>
  <c r="O62" i="1" s="1"/>
  <c r="N63" i="1"/>
  <c r="O63" i="1" s="1"/>
  <c r="N64" i="1"/>
  <c r="O64" i="1" s="1"/>
</calcChain>
</file>

<file path=xl/sharedStrings.xml><?xml version="1.0" encoding="utf-8"?>
<sst xmlns="http://schemas.openxmlformats.org/spreadsheetml/2006/main" count="559" uniqueCount="138">
  <si>
    <t>Código SAP</t>
  </si>
  <si>
    <t>Descripción</t>
  </si>
  <si>
    <t>Marca</t>
  </si>
  <si>
    <t>Negocio global</t>
  </si>
  <si>
    <t>Contenido (L)</t>
  </si>
  <si>
    <t>Costo por unidad</t>
  </si>
  <si>
    <t>Moneda</t>
  </si>
  <si>
    <t>Estado</t>
  </si>
  <si>
    <t>PROTECTIVE</t>
  </si>
  <si>
    <t>SIN COSTO</t>
  </si>
  <si>
    <t>USD</t>
  </si>
  <si>
    <t>OK</t>
  </si>
  <si>
    <t>MARINE</t>
  </si>
  <si>
    <t>INTERGARD 2002 BASE FORTE</t>
  </si>
  <si>
    <t>INTERGARD 2002 COMPONENTE B</t>
  </si>
  <si>
    <t>INTERGARD 740 BASE PASTEL</t>
  </si>
  <si>
    <t>INTERGARD 740 BASE ULTRA FORTE</t>
  </si>
  <si>
    <t>INTERGARD 740 COMPONENTE B</t>
  </si>
  <si>
    <t>INTERLAC 665 BASE AMARELA</t>
  </si>
  <si>
    <t>INTERLAC 665 BASE FORTE</t>
  </si>
  <si>
    <t>INTERLAC 665 BASE PASTEL</t>
  </si>
  <si>
    <t>INTERSEAL 1509 BASE FORTE</t>
  </si>
  <si>
    <t>INTERSEAL 1509 PART B</t>
  </si>
  <si>
    <t>INTERSEAL 670HS BASE AMARELA</t>
  </si>
  <si>
    <t>INTERSEAL 670HS BASE FORTE</t>
  </si>
  <si>
    <t>INTERSEAL 670HS BASE PASTEL</t>
  </si>
  <si>
    <t>INTERSEAL 670HS COMPONENTE B</t>
  </si>
  <si>
    <t>INTERSEAL 670HS COMPONENTE B INVERNO</t>
  </si>
  <si>
    <t>INTERSHEEN 579 BASE FORTE</t>
  </si>
  <si>
    <t>INTERSHEEN 579 BASE PASTEL</t>
  </si>
  <si>
    <t>INTERTHANE 3230HG BASE PASTEL</t>
  </si>
  <si>
    <t>INTERTHANE 3230HG BASE ULTRA FORTE</t>
  </si>
  <si>
    <t>INTERTHANE 3230HG BASE ULTRA FORTE/ ZM INTERTHANE 3230HG BUD 15,08L</t>
  </si>
  <si>
    <t>INTERTHANE 3230HG/G/SG/M</t>
  </si>
  <si>
    <t>INTERTHANE 3230SG BASE AMARELA</t>
  </si>
  <si>
    <t>INTERTHANE 3230SG BASE PASTEL</t>
  </si>
  <si>
    <t>INTERTHANE 3230SG BASE ULTRA FORTE</t>
  </si>
  <si>
    <t>INTERTHANE 3230SG BASE ULTRA FORTE/ ZM INTERTHANE 3230SG BUD  15,08L</t>
  </si>
  <si>
    <t>INTERTHANE 870 BASE FORTE</t>
  </si>
  <si>
    <t>INTERTHANE 870 COMPONENTE B</t>
  </si>
  <si>
    <t>INTERTHANE 990 BASE AMARELA</t>
  </si>
  <si>
    <t>INTERTHANE 990 BASE FORTE</t>
  </si>
  <si>
    <t>INTERTHANE 990 BASE LARANJA PARTE A</t>
  </si>
  <si>
    <t>INTERTHANE 990 BASE PASTEL</t>
  </si>
  <si>
    <t>INTERTHANE 990/990FD COMPONENTE B</t>
  </si>
  <si>
    <t>INTERTUF 262 BASE FORTE - COMP.A</t>
  </si>
  <si>
    <t>INTERTUF 262 COMP.B</t>
  </si>
  <si>
    <t>INTERZONE 954 BASE AMARELA</t>
  </si>
  <si>
    <t>INTERZONE 954 BASE PASTEL</t>
  </si>
  <si>
    <t>INTERZONE 954 BASE ULTRA FORTE</t>
  </si>
  <si>
    <t>INTERZONE 954 COMPONENTE B</t>
  </si>
  <si>
    <t>ZM INTERSEAL 670HS LIGHT BASE 16,201L</t>
  </si>
  <si>
    <t>ZM INTERSEAL 670HS PART.B 3L</t>
  </si>
  <si>
    <t>ZM INTERTHANE 990 ORANGE BASE 15.083L</t>
  </si>
  <si>
    <t>Costo CKM3 AR$ Pieza</t>
  </si>
  <si>
    <t>Costo CKM3 USD Pieza</t>
  </si>
  <si>
    <t>Costo CKM3 USD Ltr</t>
  </si>
  <si>
    <t>A</t>
  </si>
  <si>
    <t>B</t>
  </si>
  <si>
    <t>M</t>
  </si>
  <si>
    <t>A/B/M</t>
  </si>
  <si>
    <t>Codigo Parte B</t>
  </si>
  <si>
    <t>---</t>
  </si>
  <si>
    <t>INTERSEAL 1509</t>
  </si>
  <si>
    <t>INTERTHANE 990</t>
  </si>
  <si>
    <t>INTERTHANE 3230</t>
  </si>
  <si>
    <t>INTERSEAL 670</t>
  </si>
  <si>
    <t>INTERGARD 2002</t>
  </si>
  <si>
    <t>INTERGARD 740</t>
  </si>
  <si>
    <t>INTERLAC 667</t>
  </si>
  <si>
    <t>INTERSHEEN 579</t>
  </si>
  <si>
    <t>INTERTHANE 870</t>
  </si>
  <si>
    <t>INTERTUF 262</t>
  </si>
  <si>
    <t>INTERZONE 954</t>
  </si>
  <si>
    <t>CODIGO IP</t>
  </si>
  <si>
    <t>OIA44A</t>
  </si>
  <si>
    <t>OIA046</t>
  </si>
  <si>
    <t>ECA131</t>
  </si>
  <si>
    <t>ECA106</t>
  </si>
  <si>
    <t>ECA914</t>
  </si>
  <si>
    <t>CLA106</t>
  </si>
  <si>
    <t>CLA151</t>
  </si>
  <si>
    <t>KJA044A</t>
  </si>
  <si>
    <t>KJA046</t>
  </si>
  <si>
    <t>EGA247</t>
  </si>
  <si>
    <t>EGA248</t>
  </si>
  <si>
    <t>EGA150</t>
  </si>
  <si>
    <t>EGA105</t>
  </si>
  <si>
    <t>EGA130</t>
  </si>
  <si>
    <t>LAA106</t>
  </si>
  <si>
    <t>LAA131</t>
  </si>
  <si>
    <t>MGA011</t>
  </si>
  <si>
    <t>MYA011</t>
  </si>
  <si>
    <t>MYA044</t>
  </si>
  <si>
    <t>MGA044</t>
  </si>
  <si>
    <t>MDA046</t>
  </si>
  <si>
    <t>MGA150</t>
  </si>
  <si>
    <t>QGA046</t>
  </si>
  <si>
    <t>QGA100</t>
  </si>
  <si>
    <t>PHA150</t>
  </si>
  <si>
    <t>PHA130</t>
  </si>
  <si>
    <t>PHA190</t>
  </si>
  <si>
    <t>PHA100</t>
  </si>
  <si>
    <t>PHA046</t>
  </si>
  <si>
    <t>KHA106</t>
  </si>
  <si>
    <t>KHA046</t>
  </si>
  <si>
    <t>EAA914</t>
  </si>
  <si>
    <t>EAA934</t>
  </si>
  <si>
    <t>EAA904</t>
  </si>
  <si>
    <t>EAA964</t>
  </si>
  <si>
    <t>AN CONC ALBAMIX GVA 134 EXTENDER 4L</t>
  </si>
  <si>
    <t>CONCENTRADO</t>
  </si>
  <si>
    <t>ZM GVA122 RED OXIDE 4L</t>
  </si>
  <si>
    <t>ZM GVA124 ORGANIC BLUE 4L</t>
  </si>
  <si>
    <t>ZM GVA126 TINTING BLACK 4L</t>
  </si>
  <si>
    <t>ZM GVA127 YELLOW OXIDE 4L</t>
  </si>
  <si>
    <t>ZM GVA140 ORGANIC ORANGE 4L</t>
  </si>
  <si>
    <t>ZM GVA142 ORGANIC VIOLET 4L</t>
  </si>
  <si>
    <t>ZM GVA145 MEDIUM YELLOW 4L</t>
  </si>
  <si>
    <t>ZM GVA146 LEMON YELLOW 4L</t>
  </si>
  <si>
    <t>ZM GVA147 WHITE 4L</t>
  </si>
  <si>
    <t>ZM GVA149 GREEN 4L</t>
  </si>
  <si>
    <t>ZM GVA322 FAST FAST RED 4L</t>
  </si>
  <si>
    <t>ZM GVA480 RED VIOLET 4L</t>
  </si>
  <si>
    <t>GVA 147 BLANCO 3.6L BRA</t>
  </si>
  <si>
    <t>GVA147</t>
  </si>
  <si>
    <t>GVA134</t>
  </si>
  <si>
    <t>GVA122</t>
  </si>
  <si>
    <t>GVA124</t>
  </si>
  <si>
    <t>GVA126</t>
  </si>
  <si>
    <t>GVA140</t>
  </si>
  <si>
    <t>GVA142</t>
  </si>
  <si>
    <t>GVA145</t>
  </si>
  <si>
    <t>GVA146</t>
  </si>
  <si>
    <t>GVA149</t>
  </si>
  <si>
    <t>GVA322</t>
  </si>
  <si>
    <t>GVA480</t>
  </si>
  <si>
    <t>GCA127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</si>
</sst>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,##0.###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5192"/>
      </patternFill>
    </fill>
    <fill>
      <patternFill patternType="solid">
        <fgColor rgb="FFF2EEF8"/>
      </patternFill>
    </fill>
    <fill>
      <patternFill patternType="solid">
        <fgColor rgb="FFFFFFFF"/>
      </patternFill>
    </fill>
    <fill>
      <patternFill patternType="solid">
        <fgColor rgb="FFF7F7F9"/>
      </patternFill>
    </fill>
  </fills>
  <borders count="8">
    <border>
      <left/>
      <right/>
      <top/>
      <bottom/>
      <diagonal/>
    </border>
    <border>
      <left style="thin">
        <color rgb="FFE1E4E8"/>
      </left>
      <right style="thin">
        <color rgb="FFE1E4E8"/>
      </right>
      <top style="thin">
        <color rgb="FFE1E4E8"/>
      </top>
      <bottom style="thin">
        <color rgb="FFE1E4E8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E1E4E8"/>
      </left>
      <right/>
      <top style="thin">
        <color rgb="FFE1E4E8"/>
      </top>
      <bottom style="thin">
        <color rgb="FFE1E4E8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35">
    <xf numFmtId="0" fontId="0" fillId="0" borderId="0" xfId="0"/>
    <xf numFmtId="0" fontId="2" fillId="3" borderId="1" xfId="0" applyFont="1" applyFill="1" applyBorder="1"/>
    <xf numFmtId="0" fontId="2" fillId="4" borderId="1" xfId="0" applyFont="1" applyFill="1" applyBorder="1"/>
    <xf numFmtId="0" fontId="2" fillId="5" borderId="1" xfId="0" applyFont="1" applyFill="1" applyBorder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4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64" fontId="2" fillId="5" borderId="1" xfId="0" applyNumberFormat="1" applyFont="1" applyFill="1" applyBorder="1" applyAlignment="1">
      <alignment horizontal="center" vertical="center"/>
    </xf>
    <xf numFmtId="4" fontId="2" fillId="5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4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5" borderId="1" xfId="0" quotePrefix="1" applyFont="1" applyFill="1" applyBorder="1" applyAlignment="1">
      <alignment horizontal="center"/>
    </xf>
    <xf numFmtId="0" fontId="2" fillId="4" borderId="1" xfId="0" quotePrefix="1" applyFont="1" applyFill="1" applyBorder="1" applyAlignment="1">
      <alignment horizontal="center"/>
    </xf>
    <xf numFmtId="43" fontId="0" fillId="0" borderId="0" xfId="0" applyNumberFormat="1" applyAlignment="1">
      <alignment horizontal="center" vertical="center"/>
    </xf>
    <xf numFmtId="43" fontId="0" fillId="0" borderId="0" xfId="1" applyFont="1" applyAlignment="1"/>
    <xf numFmtId="43" fontId="1" fillId="2" borderId="5" xfId="1" applyFont="1" applyFill="1" applyBorder="1" applyAlignment="1">
      <alignment vertical="center" wrapText="1"/>
    </xf>
    <xf numFmtId="43" fontId="2" fillId="5" borderId="6" xfId="1" applyFont="1" applyFill="1" applyBorder="1" applyAlignment="1"/>
    <xf numFmtId="43" fontId="2" fillId="3" borderId="6" xfId="1" applyFont="1" applyFill="1" applyBorder="1" applyAlignment="1"/>
    <xf numFmtId="43" fontId="2" fillId="4" borderId="6" xfId="1" applyFont="1" applyFill="1" applyBorder="1" applyAlignment="1"/>
    <xf numFmtId="0" fontId="1" fillId="2" borderId="7" xfId="0" applyFont="1" applyFill="1" applyBorder="1" applyAlignment="1">
      <alignment horizontal="center" vertical="center" wrapText="1"/>
    </xf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pablo_polola_akzonobel_com/Documents/Rep%202608/Costos%20PMPY%20Ago%2026.xlsx" TargetMode="External"/><Relationship Id="rId2" Type="http://schemas.openxmlformats.org/officeDocument/2006/relationships/externalLinkPath" Target="https://akzonobel-my.sharepoint.com/personal/pablo_polola_akzonobel_com/Documents/Rep%202608/Costos%20PMPY%20Ago%2026.xlsx" TargetMode="External"/><Relationship Id="rId1" Type="http://schemas.openxmlformats.org/officeDocument/2006/relationships/externalLinkPath" Target="/personal/pablo_polola_akzonobel_com/Documents/Rep%202608/Costos%20PMPY%20Ago%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Hoja1"/>
    </sheetNames>
    <sheetDataSet>
      <sheetData sheetId="0">
        <row r="2">
          <cell r="B2">
            <v>5046307</v>
          </cell>
          <cell r="C2" t="str">
            <v>CHARTEK 1709 HCA179/14.3KG/EU</v>
          </cell>
          <cell r="D2" t="str">
            <v>Z001</v>
          </cell>
          <cell r="E2">
            <v>1</v>
          </cell>
          <cell r="F2">
            <v>0</v>
          </cell>
          <cell r="G2" t="str">
            <v>PC</v>
          </cell>
          <cell r="H2">
            <v>796.04</v>
          </cell>
        </row>
        <row r="3">
          <cell r="B3">
            <v>5046308</v>
          </cell>
          <cell r="C3" t="str">
            <v>CHARTEK 1709 HCA180/5.7KG/EU</v>
          </cell>
          <cell r="D3" t="str">
            <v>Z001</v>
          </cell>
          <cell r="E3">
            <v>1</v>
          </cell>
          <cell r="F3">
            <v>0</v>
          </cell>
          <cell r="G3" t="str">
            <v>PC</v>
          </cell>
          <cell r="H3">
            <v>67717.98</v>
          </cell>
        </row>
        <row r="4">
          <cell r="B4">
            <v>5046309</v>
          </cell>
          <cell r="C4" t="str">
            <v>CHARTEK 1709 HCA179/17.85KG/EU</v>
          </cell>
          <cell r="D4" t="str">
            <v>Z001</v>
          </cell>
          <cell r="E4">
            <v>1</v>
          </cell>
          <cell r="F4">
            <v>18</v>
          </cell>
          <cell r="G4" t="str">
            <v>PC</v>
          </cell>
          <cell r="H4">
            <v>198005.86</v>
          </cell>
        </row>
        <row r="5">
          <cell r="B5">
            <v>5046310</v>
          </cell>
          <cell r="C5" t="str">
            <v>CHARTEK 1709 HCA180/14.3KG/EU</v>
          </cell>
          <cell r="D5" t="str">
            <v>Z001</v>
          </cell>
          <cell r="E5">
            <v>1</v>
          </cell>
          <cell r="F5">
            <v>3</v>
          </cell>
          <cell r="G5" t="str">
            <v>PC</v>
          </cell>
          <cell r="H5">
            <v>183708.01</v>
          </cell>
        </row>
        <row r="6">
          <cell r="B6">
            <v>5182189</v>
          </cell>
          <cell r="C6" t="str">
            <v>ZM INTERZONE 954 WHITE 2,88L</v>
          </cell>
          <cell r="D6" t="str">
            <v>Z001</v>
          </cell>
          <cell r="E6">
            <v>1</v>
          </cell>
          <cell r="F6">
            <v>0</v>
          </cell>
          <cell r="G6" t="str">
            <v>PC</v>
          </cell>
          <cell r="H6">
            <v>21637.39</v>
          </cell>
        </row>
        <row r="7">
          <cell r="B7">
            <v>5182190</v>
          </cell>
          <cell r="C7" t="str">
            <v>ZM INTERZINC 52 GREENISH BASE 2,88L</v>
          </cell>
          <cell r="D7" t="str">
            <v>Z001</v>
          </cell>
          <cell r="E7">
            <v>1</v>
          </cell>
          <cell r="F7">
            <v>103</v>
          </cell>
          <cell r="G7" t="str">
            <v>PC</v>
          </cell>
          <cell r="H7">
            <v>62920.43</v>
          </cell>
        </row>
        <row r="8">
          <cell r="B8">
            <v>5182191</v>
          </cell>
          <cell r="C8" t="str">
            <v>ZM INTERZONE 954 PART B 0,72L</v>
          </cell>
          <cell r="D8" t="str">
            <v>Z001</v>
          </cell>
          <cell r="E8">
            <v>1</v>
          </cell>
          <cell r="F8">
            <v>132</v>
          </cell>
          <cell r="G8" t="str">
            <v>PC</v>
          </cell>
          <cell r="H8">
            <v>10867.78</v>
          </cell>
        </row>
        <row r="9">
          <cell r="B9">
            <v>5182192</v>
          </cell>
          <cell r="C9" t="str">
            <v>ZM INTERZINC 52 PART.B 0,72L</v>
          </cell>
          <cell r="D9" t="str">
            <v>Z001</v>
          </cell>
          <cell r="E9">
            <v>1</v>
          </cell>
          <cell r="F9">
            <v>103</v>
          </cell>
          <cell r="G9" t="str">
            <v>PC</v>
          </cell>
          <cell r="H9">
            <v>5190.72</v>
          </cell>
        </row>
        <row r="10">
          <cell r="B10">
            <v>5182195</v>
          </cell>
          <cell r="C10" t="str">
            <v>ZM INTERGARD 269 RED - PART.A 2,88L</v>
          </cell>
          <cell r="D10" t="str">
            <v>Z001</v>
          </cell>
          <cell r="E10">
            <v>1</v>
          </cell>
          <cell r="F10">
            <v>81</v>
          </cell>
          <cell r="G10" t="str">
            <v>PC</v>
          </cell>
          <cell r="H10">
            <v>39722.81</v>
          </cell>
        </row>
        <row r="11">
          <cell r="B11">
            <v>5182196</v>
          </cell>
          <cell r="C11" t="str">
            <v>ZM INTERGARD 269 PART.B 4L</v>
          </cell>
          <cell r="D11" t="str">
            <v>Z001</v>
          </cell>
          <cell r="E11">
            <v>1</v>
          </cell>
          <cell r="F11">
            <v>62</v>
          </cell>
          <cell r="G11" t="str">
            <v>PC</v>
          </cell>
          <cell r="H11">
            <v>24393.16</v>
          </cell>
        </row>
        <row r="12">
          <cell r="B12">
            <v>5182197</v>
          </cell>
          <cell r="C12" t="str">
            <v>ZM INTERSEAL 670HS WHITE 3,06L</v>
          </cell>
          <cell r="D12" t="str">
            <v>Z001</v>
          </cell>
          <cell r="E12">
            <v>1</v>
          </cell>
          <cell r="F12">
            <v>193</v>
          </cell>
          <cell r="G12" t="str">
            <v>PC</v>
          </cell>
          <cell r="H12">
            <v>21224.39</v>
          </cell>
        </row>
        <row r="13">
          <cell r="B13">
            <v>5182198</v>
          </cell>
          <cell r="C13" t="str">
            <v>ZM INTERSEAL 670HS GREY N-6.5 3,06L</v>
          </cell>
          <cell r="D13" t="str">
            <v>Z001</v>
          </cell>
          <cell r="E13">
            <v>1</v>
          </cell>
          <cell r="F13">
            <v>73</v>
          </cell>
          <cell r="G13" t="str">
            <v>PC</v>
          </cell>
          <cell r="H13">
            <v>16858.259999999998</v>
          </cell>
        </row>
        <row r="14">
          <cell r="B14">
            <v>5182199</v>
          </cell>
          <cell r="C14" t="str">
            <v>ZM INTERSEAL 670HS ALUMINIUM 3,06L</v>
          </cell>
          <cell r="D14" t="str">
            <v>Z001</v>
          </cell>
          <cell r="E14">
            <v>1</v>
          </cell>
          <cell r="F14">
            <v>0</v>
          </cell>
          <cell r="G14" t="str">
            <v>PC</v>
          </cell>
          <cell r="H14">
            <v>12892.96</v>
          </cell>
        </row>
        <row r="15">
          <cell r="B15">
            <v>5182202</v>
          </cell>
          <cell r="C15" t="str">
            <v>ZM INTERSEAL 670HS PART.B (COLORS) 3L</v>
          </cell>
          <cell r="D15" t="str">
            <v>Z001</v>
          </cell>
          <cell r="E15">
            <v>1</v>
          </cell>
          <cell r="F15">
            <v>575</v>
          </cell>
          <cell r="G15" t="str">
            <v>PC</v>
          </cell>
          <cell r="H15">
            <v>40068.199999999997</v>
          </cell>
        </row>
        <row r="16">
          <cell r="B16">
            <v>5182203</v>
          </cell>
          <cell r="C16" t="str">
            <v>ZM INTERSEAL 670HS PART.B (COLORS) 0,54L</v>
          </cell>
          <cell r="D16" t="str">
            <v>Z001</v>
          </cell>
          <cell r="E16">
            <v>1</v>
          </cell>
          <cell r="F16">
            <v>463</v>
          </cell>
          <cell r="G16" t="str">
            <v>PC</v>
          </cell>
          <cell r="H16">
            <v>9254.65</v>
          </cell>
        </row>
        <row r="17">
          <cell r="B17">
            <v>5182204</v>
          </cell>
          <cell r="C17" t="str">
            <v>INTERTUF 262 KHA304/3.7L/BR</v>
          </cell>
          <cell r="D17" t="str">
            <v>Z001</v>
          </cell>
          <cell r="E17">
            <v>1</v>
          </cell>
          <cell r="F17">
            <v>66</v>
          </cell>
          <cell r="G17" t="str">
            <v>PC</v>
          </cell>
          <cell r="H17">
            <v>28009.53</v>
          </cell>
        </row>
        <row r="18">
          <cell r="B18">
            <v>5182205</v>
          </cell>
          <cell r="C18" t="str">
            <v>INTERTUF 262 KHA062/3.7L/BR</v>
          </cell>
          <cell r="D18" t="str">
            <v>Z001</v>
          </cell>
          <cell r="E18">
            <v>1</v>
          </cell>
          <cell r="F18">
            <v>484</v>
          </cell>
          <cell r="G18" t="str">
            <v>PC</v>
          </cell>
          <cell r="H18">
            <v>33267.42</v>
          </cell>
        </row>
        <row r="19">
          <cell r="B19">
            <v>5182208</v>
          </cell>
          <cell r="C19" t="str">
            <v>ZM INTERLINE 850 WHITE 16L</v>
          </cell>
          <cell r="D19" t="str">
            <v>Z001</v>
          </cell>
          <cell r="E19">
            <v>1</v>
          </cell>
          <cell r="F19">
            <v>90</v>
          </cell>
          <cell r="G19" t="str">
            <v>PC</v>
          </cell>
          <cell r="H19">
            <v>133942.22</v>
          </cell>
        </row>
        <row r="20">
          <cell r="B20">
            <v>5182209</v>
          </cell>
          <cell r="C20" t="str">
            <v>ZM INTERLINE 850 GREY 16L</v>
          </cell>
          <cell r="D20" t="str">
            <v>Z001</v>
          </cell>
          <cell r="E20">
            <v>1</v>
          </cell>
          <cell r="F20">
            <v>54</v>
          </cell>
          <cell r="G20" t="str">
            <v>PC</v>
          </cell>
          <cell r="H20">
            <v>144883.29</v>
          </cell>
        </row>
        <row r="21">
          <cell r="B21">
            <v>5182211</v>
          </cell>
          <cell r="C21" t="str">
            <v>ZM INTERLINE 850 PART.B 4L</v>
          </cell>
          <cell r="D21" t="str">
            <v>Z001</v>
          </cell>
          <cell r="E21">
            <v>1</v>
          </cell>
          <cell r="F21">
            <v>130</v>
          </cell>
          <cell r="G21" t="str">
            <v>PC</v>
          </cell>
          <cell r="H21">
            <v>49784.99</v>
          </cell>
        </row>
        <row r="22">
          <cell r="B22">
            <v>5182212</v>
          </cell>
          <cell r="C22" t="str">
            <v>INTERTHANE 990 PHB000/20L/BR</v>
          </cell>
          <cell r="D22" t="str">
            <v>Z001</v>
          </cell>
          <cell r="E22">
            <v>1</v>
          </cell>
          <cell r="F22">
            <v>283</v>
          </cell>
          <cell r="G22" t="str">
            <v>PC</v>
          </cell>
          <cell r="H22">
            <v>102776.27</v>
          </cell>
        </row>
        <row r="23">
          <cell r="B23">
            <v>5182213</v>
          </cell>
          <cell r="C23" t="str">
            <v>INTERTHANE 990 PHB000/3.7L/BR</v>
          </cell>
          <cell r="D23" t="str">
            <v>Z001</v>
          </cell>
          <cell r="E23">
            <v>1</v>
          </cell>
          <cell r="F23">
            <v>263</v>
          </cell>
          <cell r="G23" t="str">
            <v>PC</v>
          </cell>
          <cell r="H23">
            <v>21516.16</v>
          </cell>
        </row>
        <row r="24">
          <cell r="B24">
            <v>5182214</v>
          </cell>
          <cell r="C24" t="str">
            <v>INTERTHANE 990 PHA046/3.7L/BR</v>
          </cell>
          <cell r="D24" t="str">
            <v>Z001</v>
          </cell>
          <cell r="E24">
            <v>1</v>
          </cell>
          <cell r="F24">
            <v>963</v>
          </cell>
          <cell r="G24" t="str">
            <v>PC</v>
          </cell>
          <cell r="H24">
            <v>25609.68</v>
          </cell>
        </row>
        <row r="25">
          <cell r="B25">
            <v>5182215</v>
          </cell>
          <cell r="C25" t="str">
            <v>INTERTHANE 990 PHA046/1L/BR</v>
          </cell>
          <cell r="D25" t="str">
            <v>Z001</v>
          </cell>
          <cell r="E25">
            <v>1</v>
          </cell>
          <cell r="F25">
            <v>686</v>
          </cell>
          <cell r="G25" t="str">
            <v>PC</v>
          </cell>
          <cell r="H25">
            <v>6344.27</v>
          </cell>
        </row>
        <row r="26">
          <cell r="B26">
            <v>5182222</v>
          </cell>
          <cell r="C26" t="str">
            <v>ZM INTERTHERM 50 ALUMINIUM FINISH 3,6L</v>
          </cell>
          <cell r="D26" t="str">
            <v>Z001</v>
          </cell>
          <cell r="E26">
            <v>1</v>
          </cell>
          <cell r="F26">
            <v>71</v>
          </cell>
          <cell r="G26" t="str">
            <v>PC</v>
          </cell>
          <cell r="H26">
            <v>70056.94</v>
          </cell>
        </row>
        <row r="27">
          <cell r="B27">
            <v>5182239</v>
          </cell>
          <cell r="C27" t="str">
            <v>ZM ALBAMIX POLYURETHANE ENAMEL PART B 1L</v>
          </cell>
          <cell r="D27" t="str">
            <v>Z010</v>
          </cell>
          <cell r="E27">
            <v>1</v>
          </cell>
          <cell r="F27">
            <v>1058</v>
          </cell>
          <cell r="G27" t="str">
            <v>PC</v>
          </cell>
          <cell r="H27">
            <v>12457.98</v>
          </cell>
        </row>
        <row r="28">
          <cell r="B28">
            <v>5182240</v>
          </cell>
          <cell r="C28" t="str">
            <v>ZM ALBAMIX POLYURETHANE ENAMEL PART B 4L</v>
          </cell>
          <cell r="D28" t="str">
            <v>Z010</v>
          </cell>
          <cell r="E28">
            <v>1</v>
          </cell>
          <cell r="F28">
            <v>589</v>
          </cell>
          <cell r="G28" t="str">
            <v>PC</v>
          </cell>
          <cell r="H28">
            <v>44011.62</v>
          </cell>
        </row>
        <row r="29">
          <cell r="B29">
            <v>5182251</v>
          </cell>
          <cell r="C29" t="str">
            <v>ZM ALBAMIX 003 EPOXY SOLVENT 4L</v>
          </cell>
          <cell r="D29" t="str">
            <v>7920</v>
          </cell>
          <cell r="E29">
            <v>1</v>
          </cell>
          <cell r="F29">
            <v>122</v>
          </cell>
          <cell r="G29" t="str">
            <v>PC</v>
          </cell>
          <cell r="H29">
            <v>14813.08</v>
          </cell>
        </row>
        <row r="30">
          <cell r="B30">
            <v>5182252</v>
          </cell>
          <cell r="C30" t="str">
            <v>ZM ALBAMIX 003 EPOXY SOLVENT 20L</v>
          </cell>
          <cell r="D30" t="str">
            <v>7920</v>
          </cell>
          <cell r="E30">
            <v>1</v>
          </cell>
          <cell r="F30">
            <v>0</v>
          </cell>
          <cell r="G30" t="str">
            <v>PC</v>
          </cell>
          <cell r="H30">
            <v>76152.5</v>
          </cell>
        </row>
        <row r="31">
          <cell r="B31">
            <v>5182253</v>
          </cell>
          <cell r="C31" t="str">
            <v>ZM ALBAMIX 004 POLYURETHANE SOLVENT 4L</v>
          </cell>
          <cell r="D31" t="str">
            <v>7920</v>
          </cell>
          <cell r="E31">
            <v>1</v>
          </cell>
          <cell r="F31">
            <v>193</v>
          </cell>
          <cell r="G31" t="str">
            <v>PC</v>
          </cell>
          <cell r="H31">
            <v>20233.900000000001</v>
          </cell>
        </row>
        <row r="32">
          <cell r="B32">
            <v>5182254</v>
          </cell>
          <cell r="C32" t="str">
            <v>ZM ALBAMIX 004 POLYURETHANE SOLVENT 20L</v>
          </cell>
          <cell r="D32" t="str">
            <v>7920</v>
          </cell>
          <cell r="E32">
            <v>1</v>
          </cell>
          <cell r="F32">
            <v>44</v>
          </cell>
          <cell r="G32" t="str">
            <v>PC</v>
          </cell>
          <cell r="H32">
            <v>87536.12</v>
          </cell>
        </row>
        <row r="33">
          <cell r="B33">
            <v>5182256</v>
          </cell>
          <cell r="C33" t="str">
            <v>ZM ALBAMIX 002 INDUSTRIAL SOLVENT 4L</v>
          </cell>
          <cell r="D33" t="str">
            <v>7920</v>
          </cell>
          <cell r="E33">
            <v>1</v>
          </cell>
          <cell r="F33">
            <v>97</v>
          </cell>
          <cell r="G33" t="str">
            <v>PC</v>
          </cell>
          <cell r="H33">
            <v>14696.49</v>
          </cell>
        </row>
        <row r="34">
          <cell r="B34">
            <v>5182257</v>
          </cell>
          <cell r="C34" t="str">
            <v>ZM ALBAMIX 002 INDUSTRIAL SOLVENT 20L</v>
          </cell>
          <cell r="D34" t="str">
            <v>7920</v>
          </cell>
          <cell r="E34">
            <v>1</v>
          </cell>
          <cell r="F34">
            <v>44</v>
          </cell>
          <cell r="G34" t="str">
            <v>PC</v>
          </cell>
          <cell r="H34">
            <v>75513.17</v>
          </cell>
        </row>
        <row r="35">
          <cell r="B35">
            <v>5182808</v>
          </cell>
          <cell r="C35" t="str">
            <v>ZM INTERSEAL 670HS WHITE 17L</v>
          </cell>
          <cell r="D35" t="str">
            <v>Z001</v>
          </cell>
          <cell r="E35">
            <v>1</v>
          </cell>
          <cell r="F35">
            <v>388</v>
          </cell>
          <cell r="G35" t="str">
            <v>PC</v>
          </cell>
          <cell r="H35">
            <v>108665.79</v>
          </cell>
        </row>
        <row r="36">
          <cell r="B36">
            <v>5182809</v>
          </cell>
          <cell r="C36" t="str">
            <v>ZM INTERSEAL 670HS GREY N-6.5 17L</v>
          </cell>
          <cell r="D36" t="str">
            <v>Z001</v>
          </cell>
          <cell r="E36">
            <v>1</v>
          </cell>
          <cell r="F36">
            <v>393</v>
          </cell>
          <cell r="G36" t="str">
            <v>PC</v>
          </cell>
          <cell r="H36">
            <v>89562.97</v>
          </cell>
        </row>
        <row r="37">
          <cell r="B37">
            <v>5182810</v>
          </cell>
          <cell r="C37" t="str">
            <v>ZM INTERSEAL 670HS ALUMINIUM 17L</v>
          </cell>
          <cell r="D37" t="str">
            <v>Z001</v>
          </cell>
          <cell r="E37">
            <v>1</v>
          </cell>
          <cell r="F37">
            <v>34</v>
          </cell>
          <cell r="G37" t="str">
            <v>PC</v>
          </cell>
          <cell r="H37">
            <v>92582.71</v>
          </cell>
        </row>
        <row r="38">
          <cell r="B38">
            <v>5182971</v>
          </cell>
          <cell r="C38" t="str">
            <v>AN CONC ALBAMIX GVA 134 EXTENDER 4L</v>
          </cell>
          <cell r="D38" t="str">
            <v>Z001</v>
          </cell>
          <cell r="E38">
            <v>1</v>
          </cell>
          <cell r="F38">
            <v>2</v>
          </cell>
          <cell r="G38" t="str">
            <v>PC</v>
          </cell>
          <cell r="H38">
            <v>7056.89</v>
          </cell>
        </row>
        <row r="39">
          <cell r="B39">
            <v>5188710</v>
          </cell>
          <cell r="C39" t="str">
            <v>ZM ALBAMIX 008 LIGHT POLYUR SOLVENT 20L</v>
          </cell>
          <cell r="D39" t="str">
            <v>7920</v>
          </cell>
          <cell r="E39">
            <v>1</v>
          </cell>
          <cell r="F39">
            <v>102</v>
          </cell>
          <cell r="G39" t="str">
            <v>PC</v>
          </cell>
          <cell r="H39">
            <v>62538.37</v>
          </cell>
        </row>
        <row r="40">
          <cell r="B40">
            <v>5188711</v>
          </cell>
          <cell r="C40" t="str">
            <v>ZM ALBAMIX 008 LIGHT POLYUR SOLVENT 4L</v>
          </cell>
          <cell r="D40" t="str">
            <v>7920</v>
          </cell>
          <cell r="E40">
            <v>1</v>
          </cell>
          <cell r="F40">
            <v>119</v>
          </cell>
          <cell r="G40" t="str">
            <v>PC</v>
          </cell>
          <cell r="H40">
            <v>9894.39</v>
          </cell>
        </row>
        <row r="41">
          <cell r="B41">
            <v>5188719</v>
          </cell>
          <cell r="C41" t="str">
            <v>ZM ALBAMIX 013 ESPECIAL SOLVENT 20L</v>
          </cell>
          <cell r="D41" t="str">
            <v>7920</v>
          </cell>
          <cell r="E41">
            <v>1</v>
          </cell>
          <cell r="F41">
            <v>28</v>
          </cell>
          <cell r="G41" t="str">
            <v>PC</v>
          </cell>
          <cell r="H41">
            <v>73006.47</v>
          </cell>
        </row>
        <row r="42">
          <cell r="B42">
            <v>5188774</v>
          </cell>
          <cell r="C42" t="str">
            <v>ZM ESMALTE SINT SEC RAPIDO TPTE 16L IND</v>
          </cell>
          <cell r="D42" t="str">
            <v>7920</v>
          </cell>
          <cell r="E42">
            <v>1</v>
          </cell>
          <cell r="F42">
            <v>476</v>
          </cell>
          <cell r="G42" t="str">
            <v>PC</v>
          </cell>
          <cell r="H42">
            <v>45461.01</v>
          </cell>
        </row>
        <row r="43">
          <cell r="B43">
            <v>5188775</v>
          </cell>
          <cell r="C43" t="str">
            <v>ZM ESMALTE SINT SEC RAPIDO TPTE 3.2L IND</v>
          </cell>
          <cell r="D43" t="str">
            <v>7920</v>
          </cell>
          <cell r="E43">
            <v>1</v>
          </cell>
          <cell r="F43">
            <v>1209</v>
          </cell>
          <cell r="G43" t="str">
            <v>PC</v>
          </cell>
          <cell r="H43">
            <v>10012.82</v>
          </cell>
        </row>
        <row r="44">
          <cell r="B44">
            <v>5188812</v>
          </cell>
          <cell r="C44" t="str">
            <v>ZM ALBAMIX PU PRIMER PART B 85006 1L</v>
          </cell>
          <cell r="D44" t="str">
            <v>Z010</v>
          </cell>
          <cell r="E44">
            <v>1</v>
          </cell>
          <cell r="F44">
            <v>2191</v>
          </cell>
          <cell r="G44" t="str">
            <v>PC</v>
          </cell>
          <cell r="H44">
            <v>9003.52</v>
          </cell>
        </row>
        <row r="45">
          <cell r="B45">
            <v>5188813</v>
          </cell>
          <cell r="C45" t="str">
            <v>ZM ALBAMIX PU PRIMER PART B 85006 4L</v>
          </cell>
          <cell r="D45" t="str">
            <v>Z010</v>
          </cell>
          <cell r="E45">
            <v>1</v>
          </cell>
          <cell r="F45">
            <v>1080</v>
          </cell>
          <cell r="G45" t="str">
            <v>PC</v>
          </cell>
          <cell r="H45">
            <v>34856.61</v>
          </cell>
        </row>
        <row r="46">
          <cell r="B46">
            <v>5188950</v>
          </cell>
          <cell r="C46" t="str">
            <v>ZM INTERGARD 740 BASE FORTE 2,53L</v>
          </cell>
          <cell r="D46" t="str">
            <v>Z001</v>
          </cell>
          <cell r="E46">
            <v>1</v>
          </cell>
          <cell r="F46">
            <v>368</v>
          </cell>
          <cell r="G46" t="str">
            <v>PC</v>
          </cell>
          <cell r="H46">
            <v>17913.099999999999</v>
          </cell>
        </row>
        <row r="47">
          <cell r="B47">
            <v>5188951</v>
          </cell>
          <cell r="C47" t="str">
            <v>ZM INTERTUF 262 DEEP BASE PART A 14,4L</v>
          </cell>
          <cell r="D47" t="str">
            <v>Z001</v>
          </cell>
          <cell r="E47">
            <v>1</v>
          </cell>
          <cell r="F47">
            <v>67</v>
          </cell>
          <cell r="G47" t="str">
            <v>PC</v>
          </cell>
          <cell r="H47">
            <v>75267.11</v>
          </cell>
        </row>
        <row r="48">
          <cell r="B48">
            <v>5188990</v>
          </cell>
          <cell r="C48" t="str">
            <v>ZM GVA122 RED OXIDE 4L</v>
          </cell>
          <cell r="D48" t="str">
            <v>Z001</v>
          </cell>
          <cell r="E48">
            <v>1</v>
          </cell>
          <cell r="F48">
            <v>67</v>
          </cell>
          <cell r="G48" t="str">
            <v>PC</v>
          </cell>
          <cell r="H48">
            <v>58237</v>
          </cell>
        </row>
        <row r="49">
          <cell r="B49">
            <v>5188991</v>
          </cell>
          <cell r="C49" t="str">
            <v>ZM GVA124 ORGANIC BLUE 4L</v>
          </cell>
          <cell r="D49" t="str">
            <v>Z001</v>
          </cell>
          <cell r="E49">
            <v>1</v>
          </cell>
          <cell r="F49">
            <v>46</v>
          </cell>
          <cell r="G49" t="str">
            <v>PC</v>
          </cell>
          <cell r="H49">
            <v>89851.94</v>
          </cell>
        </row>
        <row r="50">
          <cell r="B50">
            <v>5188992</v>
          </cell>
          <cell r="C50" t="str">
            <v>ZM GVA126 TINTING BLACK 4L</v>
          </cell>
          <cell r="D50" t="str">
            <v>Z001</v>
          </cell>
          <cell r="E50">
            <v>1</v>
          </cell>
          <cell r="F50">
            <v>197</v>
          </cell>
          <cell r="G50" t="str">
            <v>PC</v>
          </cell>
          <cell r="H50">
            <v>60232.6</v>
          </cell>
        </row>
        <row r="51">
          <cell r="B51">
            <v>5188993</v>
          </cell>
          <cell r="C51" t="str">
            <v>ZM GVA127 YELLOW OXIDE 4L</v>
          </cell>
          <cell r="D51" t="str">
            <v>Z001</v>
          </cell>
          <cell r="E51">
            <v>1</v>
          </cell>
          <cell r="F51">
            <v>86</v>
          </cell>
          <cell r="G51" t="str">
            <v>PC</v>
          </cell>
          <cell r="H51">
            <v>85965.57</v>
          </cell>
        </row>
        <row r="52">
          <cell r="B52">
            <v>5188994</v>
          </cell>
          <cell r="C52" t="str">
            <v>ZM GVA140 ORGANIC ORANGE 4L</v>
          </cell>
          <cell r="D52" t="str">
            <v>Z001</v>
          </cell>
          <cell r="E52">
            <v>1</v>
          </cell>
          <cell r="F52">
            <v>62</v>
          </cell>
          <cell r="G52" t="str">
            <v>PC</v>
          </cell>
          <cell r="H52">
            <v>139686.67000000001</v>
          </cell>
        </row>
        <row r="53">
          <cell r="B53">
            <v>5188995</v>
          </cell>
          <cell r="C53" t="str">
            <v>ZM GVA142 ORGANIC VIOLET 4L</v>
          </cell>
          <cell r="D53" t="str">
            <v>Z001</v>
          </cell>
          <cell r="E53">
            <v>1</v>
          </cell>
          <cell r="F53">
            <v>128</v>
          </cell>
          <cell r="G53" t="str">
            <v>PC</v>
          </cell>
          <cell r="H53">
            <v>39708.519999999997</v>
          </cell>
        </row>
        <row r="54">
          <cell r="B54">
            <v>5188996</v>
          </cell>
          <cell r="C54" t="str">
            <v>ZM GVA145 MEDIUM YELLOW 4L</v>
          </cell>
          <cell r="D54" t="str">
            <v>Z001</v>
          </cell>
          <cell r="E54">
            <v>1</v>
          </cell>
          <cell r="F54">
            <v>46</v>
          </cell>
          <cell r="G54" t="str">
            <v>PC</v>
          </cell>
          <cell r="H54">
            <v>103034.38</v>
          </cell>
        </row>
        <row r="55">
          <cell r="B55">
            <v>5188997</v>
          </cell>
          <cell r="C55" t="str">
            <v>ZM GVA146 LEMON YELLOW 4L</v>
          </cell>
          <cell r="D55" t="str">
            <v>Z001</v>
          </cell>
          <cell r="E55">
            <v>1</v>
          </cell>
          <cell r="F55">
            <v>91</v>
          </cell>
          <cell r="G55" t="str">
            <v>PC</v>
          </cell>
          <cell r="H55">
            <v>119600.78</v>
          </cell>
        </row>
        <row r="56">
          <cell r="B56">
            <v>5188998</v>
          </cell>
          <cell r="C56" t="str">
            <v>ZM GVA147 WHITE 4L</v>
          </cell>
          <cell r="D56" t="str">
            <v>Z001</v>
          </cell>
          <cell r="E56">
            <v>1</v>
          </cell>
          <cell r="F56">
            <v>104</v>
          </cell>
          <cell r="G56" t="str">
            <v>PC</v>
          </cell>
          <cell r="H56">
            <v>99199.14</v>
          </cell>
        </row>
        <row r="57">
          <cell r="B57">
            <v>5188999</v>
          </cell>
          <cell r="C57" t="str">
            <v>ZM GVA149 GREEN 4L</v>
          </cell>
          <cell r="D57" t="str">
            <v>Z001</v>
          </cell>
          <cell r="E57">
            <v>1</v>
          </cell>
          <cell r="F57">
            <v>68</v>
          </cell>
          <cell r="G57" t="str">
            <v>PC</v>
          </cell>
          <cell r="H57">
            <v>122434.69</v>
          </cell>
        </row>
        <row r="58">
          <cell r="B58">
            <v>5189000</v>
          </cell>
          <cell r="C58" t="str">
            <v>ZM GVA322 FAST FAST RED 4L</v>
          </cell>
          <cell r="D58" t="str">
            <v>Z001</v>
          </cell>
          <cell r="E58">
            <v>1</v>
          </cell>
          <cell r="F58">
            <v>225</v>
          </cell>
          <cell r="G58" t="str">
            <v>PC</v>
          </cell>
          <cell r="H58">
            <v>80763.929999999993</v>
          </cell>
        </row>
        <row r="59">
          <cell r="B59">
            <v>5189001</v>
          </cell>
          <cell r="C59" t="str">
            <v>ZM GVA480 RED VIOLET 4L</v>
          </cell>
          <cell r="D59" t="str">
            <v>Z001</v>
          </cell>
          <cell r="E59">
            <v>1</v>
          </cell>
          <cell r="F59">
            <v>35</v>
          </cell>
          <cell r="G59" t="str">
            <v>PC</v>
          </cell>
          <cell r="H59">
            <v>121305.1</v>
          </cell>
        </row>
        <row r="60">
          <cell r="B60">
            <v>5189002</v>
          </cell>
          <cell r="C60" t="str">
            <v>ZM HK-1 MESK CARMELIZED  1L</v>
          </cell>
          <cell r="D60" t="str">
            <v>Z001</v>
          </cell>
          <cell r="E60">
            <v>1</v>
          </cell>
          <cell r="F60">
            <v>1</v>
          </cell>
          <cell r="G60" t="str">
            <v>PC</v>
          </cell>
          <cell r="H60">
            <v>1478331.32</v>
          </cell>
        </row>
        <row r="61">
          <cell r="B61">
            <v>5189003</v>
          </cell>
          <cell r="C61" t="str">
            <v>ZM INTERBOND 201 GREY RIBCAGE-PART.A 16L</v>
          </cell>
          <cell r="D61" t="str">
            <v>Z001</v>
          </cell>
          <cell r="E61">
            <v>1</v>
          </cell>
          <cell r="F61">
            <v>16</v>
          </cell>
          <cell r="G61" t="str">
            <v>PC</v>
          </cell>
          <cell r="H61">
            <v>128787.85</v>
          </cell>
        </row>
        <row r="62">
          <cell r="B62">
            <v>5189005</v>
          </cell>
          <cell r="C62" t="str">
            <v>ZM INTERBOND 201 PART.B 4L</v>
          </cell>
          <cell r="D62" t="str">
            <v>Z001</v>
          </cell>
          <cell r="E62">
            <v>1</v>
          </cell>
          <cell r="F62">
            <v>178</v>
          </cell>
          <cell r="G62" t="str">
            <v>PC</v>
          </cell>
          <cell r="H62">
            <v>31881.14</v>
          </cell>
        </row>
        <row r="63">
          <cell r="B63">
            <v>5189006</v>
          </cell>
          <cell r="C63" t="str">
            <v>ZM INTERBOND 201 RED  - PART.A 16L</v>
          </cell>
          <cell r="D63" t="str">
            <v>Z001</v>
          </cell>
          <cell r="E63">
            <v>1</v>
          </cell>
          <cell r="F63">
            <v>28</v>
          </cell>
          <cell r="G63" t="str">
            <v>PC</v>
          </cell>
          <cell r="H63">
            <v>74076.77</v>
          </cell>
        </row>
        <row r="64">
          <cell r="B64">
            <v>5189007</v>
          </cell>
          <cell r="C64" t="str">
            <v>ZM INTERBOND 201 SIGNAL GREEN 16L</v>
          </cell>
          <cell r="D64" t="str">
            <v>Z001</v>
          </cell>
          <cell r="E64">
            <v>1</v>
          </cell>
          <cell r="F64">
            <v>97</v>
          </cell>
          <cell r="G64" t="str">
            <v>PC</v>
          </cell>
          <cell r="H64">
            <v>140378.75</v>
          </cell>
        </row>
        <row r="65">
          <cell r="B65">
            <v>5189008</v>
          </cell>
          <cell r="C65" t="str">
            <v>ZM INTERBOND 201 SURF GREY 16L</v>
          </cell>
          <cell r="D65" t="str">
            <v>Z001</v>
          </cell>
          <cell r="E65">
            <v>1</v>
          </cell>
          <cell r="F65">
            <v>23</v>
          </cell>
          <cell r="G65" t="str">
            <v>PC</v>
          </cell>
          <cell r="H65">
            <v>135677.07999999999</v>
          </cell>
        </row>
        <row r="66">
          <cell r="B66">
            <v>5189012</v>
          </cell>
          <cell r="C66" t="str">
            <v>ZM INTERBOND 808 ALUMINIUM- PART.A 16L</v>
          </cell>
          <cell r="D66" t="str">
            <v>Z001</v>
          </cell>
          <cell r="E66">
            <v>1</v>
          </cell>
          <cell r="F66">
            <v>28</v>
          </cell>
          <cell r="G66" t="str">
            <v>PC</v>
          </cell>
          <cell r="H66">
            <v>99045.9</v>
          </cell>
        </row>
        <row r="67">
          <cell r="B67">
            <v>5189013</v>
          </cell>
          <cell r="C67" t="str">
            <v>ZM INTERBOND 808 BEIGE- PART.A 16L</v>
          </cell>
          <cell r="D67" t="str">
            <v>Z001</v>
          </cell>
          <cell r="E67">
            <v>1</v>
          </cell>
          <cell r="F67">
            <v>38</v>
          </cell>
          <cell r="G67" t="str">
            <v>PC</v>
          </cell>
          <cell r="H67">
            <v>111643.46</v>
          </cell>
        </row>
        <row r="68">
          <cell r="B68">
            <v>5189016</v>
          </cell>
          <cell r="C68" t="str">
            <v>ZM INTERBOND 808 PART.B 4L</v>
          </cell>
          <cell r="D68" t="str">
            <v>Z001</v>
          </cell>
          <cell r="E68">
            <v>1</v>
          </cell>
          <cell r="F68">
            <v>58</v>
          </cell>
          <cell r="G68" t="str">
            <v>PC</v>
          </cell>
          <cell r="H68">
            <v>50914.239999999998</v>
          </cell>
        </row>
        <row r="69">
          <cell r="B69">
            <v>5189022</v>
          </cell>
          <cell r="C69" t="str">
            <v>ZM INTERBOND 998PB WHITE 15L</v>
          </cell>
          <cell r="D69" t="str">
            <v>Z001</v>
          </cell>
          <cell r="E69">
            <v>1</v>
          </cell>
          <cell r="F69">
            <v>0</v>
          </cell>
          <cell r="G69" t="str">
            <v>PC</v>
          </cell>
          <cell r="H69">
            <v>654.39</v>
          </cell>
        </row>
        <row r="70">
          <cell r="B70">
            <v>5189056</v>
          </cell>
          <cell r="C70" t="str">
            <v>ZM INTERGARD 251 GREY PART A 2,88L</v>
          </cell>
          <cell r="D70" t="str">
            <v>Z001</v>
          </cell>
          <cell r="E70">
            <v>1</v>
          </cell>
          <cell r="F70">
            <v>0</v>
          </cell>
          <cell r="G70" t="str">
            <v>PC</v>
          </cell>
          <cell r="H70">
            <v>900.95</v>
          </cell>
        </row>
        <row r="71">
          <cell r="B71">
            <v>5189061</v>
          </cell>
          <cell r="C71" t="str">
            <v>ZM INTERGARD 263 GREY 16L</v>
          </cell>
          <cell r="D71" t="str">
            <v>Z001</v>
          </cell>
          <cell r="E71">
            <v>1</v>
          </cell>
          <cell r="F71">
            <v>251</v>
          </cell>
          <cell r="G71" t="str">
            <v>PC</v>
          </cell>
          <cell r="H71">
            <v>112948</v>
          </cell>
        </row>
        <row r="72">
          <cell r="B72">
            <v>5189063</v>
          </cell>
          <cell r="C72" t="str">
            <v>ZM INTERGARD 263 PART.B 4L</v>
          </cell>
          <cell r="D72" t="str">
            <v>Z001</v>
          </cell>
          <cell r="E72">
            <v>1</v>
          </cell>
          <cell r="F72">
            <v>246</v>
          </cell>
          <cell r="G72" t="str">
            <v>PC</v>
          </cell>
          <cell r="H72">
            <v>39847.61</v>
          </cell>
        </row>
        <row r="73">
          <cell r="B73">
            <v>5189064</v>
          </cell>
          <cell r="C73" t="str">
            <v>ZM INTERGARD 269 PART.B 0,72L</v>
          </cell>
          <cell r="D73" t="str">
            <v>Z001</v>
          </cell>
          <cell r="E73">
            <v>1</v>
          </cell>
          <cell r="F73">
            <v>202</v>
          </cell>
          <cell r="G73" t="str">
            <v>PC</v>
          </cell>
          <cell r="H73">
            <v>5164.12</v>
          </cell>
        </row>
        <row r="74">
          <cell r="B74">
            <v>5189065</v>
          </cell>
          <cell r="C74" t="str">
            <v>ZM INTERGARD 269 RED  - PART.A 16L</v>
          </cell>
          <cell r="D74" t="str">
            <v>Z001</v>
          </cell>
          <cell r="E74">
            <v>1</v>
          </cell>
          <cell r="F74">
            <v>104</v>
          </cell>
          <cell r="G74" t="str">
            <v>PC</v>
          </cell>
          <cell r="H74">
            <v>96349.8</v>
          </cell>
        </row>
        <row r="75">
          <cell r="B75">
            <v>5189076</v>
          </cell>
          <cell r="C75" t="str">
            <v>ZM INTERGARD 475HS OFF WHITE 15L</v>
          </cell>
          <cell r="D75" t="str">
            <v>Z001</v>
          </cell>
          <cell r="E75">
            <v>1</v>
          </cell>
          <cell r="F75">
            <v>4</v>
          </cell>
          <cell r="G75" t="str">
            <v>PC</v>
          </cell>
          <cell r="H75">
            <v>45959.88</v>
          </cell>
        </row>
        <row r="76">
          <cell r="B76">
            <v>5189081</v>
          </cell>
          <cell r="C76" t="str">
            <v>ZM INTERGARD 475HS PART.B WINTER 5L</v>
          </cell>
          <cell r="D76" t="str">
            <v>Z001</v>
          </cell>
          <cell r="E76">
            <v>1</v>
          </cell>
          <cell r="F76">
            <v>8</v>
          </cell>
          <cell r="G76" t="str">
            <v>PC</v>
          </cell>
          <cell r="H76">
            <v>21009.69</v>
          </cell>
        </row>
        <row r="77">
          <cell r="B77">
            <v>5189084</v>
          </cell>
          <cell r="C77" t="str">
            <v>ZM INTERGARD 740 BASE FORTE 14,08L</v>
          </cell>
          <cell r="D77" t="str">
            <v>Z001</v>
          </cell>
          <cell r="E77">
            <v>1</v>
          </cell>
          <cell r="F77">
            <v>86</v>
          </cell>
          <cell r="G77" t="str">
            <v>PC</v>
          </cell>
          <cell r="H77">
            <v>97297.87</v>
          </cell>
        </row>
        <row r="78">
          <cell r="B78">
            <v>5189089</v>
          </cell>
          <cell r="C78" t="str">
            <v>ZM INTERGARD 740 LIGHT BASE 2,82L</v>
          </cell>
          <cell r="D78" t="str">
            <v>Z001</v>
          </cell>
          <cell r="E78">
            <v>1</v>
          </cell>
          <cell r="F78">
            <v>101</v>
          </cell>
          <cell r="G78" t="str">
            <v>PC</v>
          </cell>
          <cell r="H78">
            <v>13889.5</v>
          </cell>
        </row>
        <row r="79">
          <cell r="B79">
            <v>5189090</v>
          </cell>
          <cell r="C79" t="str">
            <v>ZM INTERGARD 740 PART.B 0,72L</v>
          </cell>
          <cell r="D79" t="str">
            <v>Z001</v>
          </cell>
          <cell r="E79">
            <v>1</v>
          </cell>
          <cell r="F79">
            <v>626</v>
          </cell>
          <cell r="G79" t="str">
            <v>PC</v>
          </cell>
          <cell r="H79">
            <v>7797.29</v>
          </cell>
        </row>
        <row r="80">
          <cell r="B80">
            <v>5189091</v>
          </cell>
          <cell r="C80" t="str">
            <v>ZM INTERGARD 740 PART.B 4L</v>
          </cell>
          <cell r="D80" t="str">
            <v>Z001</v>
          </cell>
          <cell r="E80">
            <v>1</v>
          </cell>
          <cell r="F80">
            <v>210</v>
          </cell>
          <cell r="G80" t="str">
            <v>PC</v>
          </cell>
          <cell r="H80">
            <v>38438.519999999997</v>
          </cell>
        </row>
        <row r="81">
          <cell r="B81">
            <v>5189092</v>
          </cell>
          <cell r="C81" t="str">
            <v>ZM INTERGARD 740 WHITE 16L</v>
          </cell>
          <cell r="D81" t="str">
            <v>Z001</v>
          </cell>
          <cell r="E81">
            <v>1</v>
          </cell>
          <cell r="F81">
            <v>72</v>
          </cell>
          <cell r="G81" t="str">
            <v>PC</v>
          </cell>
          <cell r="H81">
            <v>141332.16</v>
          </cell>
        </row>
        <row r="82">
          <cell r="B82">
            <v>5189093</v>
          </cell>
          <cell r="C82" t="str">
            <v>ZM INTERGARD 740 WHITE 2,88L</v>
          </cell>
          <cell r="D82" t="str">
            <v>Z001</v>
          </cell>
          <cell r="E82">
            <v>1</v>
          </cell>
          <cell r="F82">
            <v>226</v>
          </cell>
          <cell r="G82" t="str">
            <v>PC</v>
          </cell>
          <cell r="H82">
            <v>25330.799999999999</v>
          </cell>
        </row>
        <row r="83">
          <cell r="B83">
            <v>5189096</v>
          </cell>
          <cell r="C83" t="str">
            <v>ZM INTERLAC 665 AMARILLA BASE 3.168L</v>
          </cell>
          <cell r="D83" t="str">
            <v>Z001</v>
          </cell>
          <cell r="E83">
            <v>1</v>
          </cell>
          <cell r="F83">
            <v>131</v>
          </cell>
          <cell r="G83" t="str">
            <v>PC</v>
          </cell>
          <cell r="H83">
            <v>28086.85</v>
          </cell>
        </row>
        <row r="84">
          <cell r="B84">
            <v>5189100</v>
          </cell>
          <cell r="C84" t="str">
            <v>ZM INTERLAC 665 DEEP BASE A106 17,6L</v>
          </cell>
          <cell r="D84" t="str">
            <v>Z001</v>
          </cell>
          <cell r="E84">
            <v>1</v>
          </cell>
          <cell r="F84">
            <v>305</v>
          </cell>
          <cell r="G84" t="str">
            <v>PC</v>
          </cell>
          <cell r="H84">
            <v>87934.64</v>
          </cell>
        </row>
        <row r="85">
          <cell r="B85">
            <v>5189102</v>
          </cell>
          <cell r="C85" t="str">
            <v>ZM INTERLAC 665 DEEP BASE 3.168L</v>
          </cell>
          <cell r="D85" t="str">
            <v>Z001</v>
          </cell>
          <cell r="E85">
            <v>1</v>
          </cell>
          <cell r="F85">
            <v>427</v>
          </cell>
          <cell r="G85" t="str">
            <v>PC</v>
          </cell>
          <cell r="H85">
            <v>14072.15</v>
          </cell>
        </row>
        <row r="86">
          <cell r="B86">
            <v>5189104</v>
          </cell>
          <cell r="C86" t="str">
            <v>ZM INTERLAC 665 LIGHT BASE 19.4L</v>
          </cell>
          <cell r="D86" t="str">
            <v>Z001</v>
          </cell>
          <cell r="E86">
            <v>1</v>
          </cell>
          <cell r="F86">
            <v>44</v>
          </cell>
          <cell r="G86" t="str">
            <v>PC</v>
          </cell>
          <cell r="H86">
            <v>127045.77</v>
          </cell>
        </row>
        <row r="87">
          <cell r="B87">
            <v>5189106</v>
          </cell>
          <cell r="C87" t="str">
            <v>ZM INTERLAC 665 LIGHT BASE 3.492L</v>
          </cell>
          <cell r="D87" t="str">
            <v>Z001</v>
          </cell>
          <cell r="E87">
            <v>1</v>
          </cell>
          <cell r="F87">
            <v>65</v>
          </cell>
          <cell r="G87" t="str">
            <v>PC</v>
          </cell>
          <cell r="H87">
            <v>25386.85</v>
          </cell>
        </row>
        <row r="88">
          <cell r="B88">
            <v>5189114</v>
          </cell>
          <cell r="C88" t="str">
            <v>ZM INTERLAC 665 WHITE 20L</v>
          </cell>
          <cell r="D88" t="str">
            <v>Z001</v>
          </cell>
          <cell r="E88">
            <v>1</v>
          </cell>
          <cell r="F88">
            <v>165</v>
          </cell>
          <cell r="G88" t="str">
            <v>PC</v>
          </cell>
          <cell r="H88">
            <v>103846.25</v>
          </cell>
        </row>
        <row r="89">
          <cell r="B89">
            <v>5189115</v>
          </cell>
          <cell r="C89" t="str">
            <v>ZM INTERLAC 665 WHITE 3,6L</v>
          </cell>
          <cell r="D89" t="str">
            <v>Z001</v>
          </cell>
          <cell r="E89">
            <v>1</v>
          </cell>
          <cell r="F89">
            <v>186</v>
          </cell>
          <cell r="G89" t="str">
            <v>PC</v>
          </cell>
          <cell r="H89">
            <v>18811.89</v>
          </cell>
        </row>
        <row r="90">
          <cell r="B90">
            <v>5189119</v>
          </cell>
          <cell r="C90" t="str">
            <v>ZM INTERLINE 399 PART.B 0,6L</v>
          </cell>
          <cell r="D90" t="str">
            <v>Z001</v>
          </cell>
          <cell r="E90">
            <v>1</v>
          </cell>
          <cell r="F90">
            <v>374</v>
          </cell>
          <cell r="G90" t="str">
            <v>PC</v>
          </cell>
          <cell r="H90">
            <v>14187.05</v>
          </cell>
        </row>
        <row r="91">
          <cell r="B91">
            <v>5189120</v>
          </cell>
          <cell r="C91" t="str">
            <v>ZM INTERLINE 399 GRAY 3L</v>
          </cell>
          <cell r="D91" t="str">
            <v>Z001</v>
          </cell>
          <cell r="E91">
            <v>1</v>
          </cell>
          <cell r="F91">
            <v>187</v>
          </cell>
          <cell r="G91" t="str">
            <v>PC</v>
          </cell>
          <cell r="H91">
            <v>31011.64</v>
          </cell>
        </row>
        <row r="92">
          <cell r="B92">
            <v>5189121</v>
          </cell>
          <cell r="C92" t="str">
            <v>ZM INTERLINE 399 WHITE 3L</v>
          </cell>
          <cell r="D92" t="str">
            <v>Z001</v>
          </cell>
          <cell r="E92">
            <v>1</v>
          </cell>
          <cell r="F92">
            <v>229</v>
          </cell>
          <cell r="G92" t="str">
            <v>PC</v>
          </cell>
          <cell r="H92">
            <v>52847.17</v>
          </cell>
        </row>
        <row r="93">
          <cell r="B93">
            <v>5189154</v>
          </cell>
          <cell r="C93" t="str">
            <v>ZM INTERPLATE 341 PART. B 0,2L</v>
          </cell>
          <cell r="D93" t="str">
            <v>Z001</v>
          </cell>
          <cell r="E93">
            <v>1</v>
          </cell>
          <cell r="F93">
            <v>0</v>
          </cell>
          <cell r="G93" t="str">
            <v>PC</v>
          </cell>
          <cell r="H93">
            <v>0</v>
          </cell>
        </row>
        <row r="94">
          <cell r="B94">
            <v>5189155</v>
          </cell>
          <cell r="C94" t="str">
            <v>ZM INTERPLATE 341 RED 3,4L</v>
          </cell>
          <cell r="D94" t="str">
            <v>Z001</v>
          </cell>
          <cell r="E94">
            <v>1</v>
          </cell>
          <cell r="F94">
            <v>0</v>
          </cell>
          <cell r="G94" t="str">
            <v>PC</v>
          </cell>
          <cell r="H94">
            <v>0</v>
          </cell>
        </row>
        <row r="95">
          <cell r="B95">
            <v>5189157</v>
          </cell>
          <cell r="C95" t="str">
            <v>ZM INTERPLATE 855 GREY 8L</v>
          </cell>
          <cell r="D95" t="str">
            <v>Z001</v>
          </cell>
          <cell r="E95">
            <v>1</v>
          </cell>
          <cell r="F95">
            <v>57</v>
          </cell>
          <cell r="G95" t="str">
            <v>PC</v>
          </cell>
          <cell r="H95">
            <v>99890.42</v>
          </cell>
        </row>
        <row r="96">
          <cell r="B96">
            <v>5189158</v>
          </cell>
          <cell r="C96" t="str">
            <v>ZM INTERPLATE 855 PART.B 12L</v>
          </cell>
          <cell r="D96" t="str">
            <v>Z001</v>
          </cell>
          <cell r="E96">
            <v>1</v>
          </cell>
          <cell r="F96">
            <v>58</v>
          </cell>
          <cell r="G96" t="str">
            <v>PC</v>
          </cell>
          <cell r="H96">
            <v>64819.86</v>
          </cell>
        </row>
        <row r="97">
          <cell r="B97">
            <v>5189161</v>
          </cell>
          <cell r="C97" t="str">
            <v>ZM INTERPLUS 256 ALUMINIUM 15L</v>
          </cell>
          <cell r="D97" t="str">
            <v>Z001</v>
          </cell>
          <cell r="E97">
            <v>1</v>
          </cell>
          <cell r="F97">
            <v>2</v>
          </cell>
          <cell r="G97" t="str">
            <v>PC</v>
          </cell>
          <cell r="H97">
            <v>193364.84</v>
          </cell>
        </row>
        <row r="98">
          <cell r="B98">
            <v>5189162</v>
          </cell>
          <cell r="C98" t="str">
            <v>ZM INTERPLUS 256 ALUMINIUM 2,7L</v>
          </cell>
          <cell r="D98" t="str">
            <v>Z001</v>
          </cell>
          <cell r="E98">
            <v>1</v>
          </cell>
          <cell r="F98">
            <v>0</v>
          </cell>
          <cell r="G98" t="str">
            <v>PC</v>
          </cell>
          <cell r="H98">
            <v>3245.82</v>
          </cell>
        </row>
        <row r="99">
          <cell r="B99">
            <v>5189163</v>
          </cell>
          <cell r="C99" t="str">
            <v>ZM INTERPLUS 256 ALUMINIUM- PART.B 0,9L</v>
          </cell>
          <cell r="D99" t="str">
            <v>Z001</v>
          </cell>
          <cell r="E99">
            <v>1</v>
          </cell>
          <cell r="F99">
            <v>0</v>
          </cell>
          <cell r="G99" t="str">
            <v>PC</v>
          </cell>
          <cell r="H99">
            <v>522.34</v>
          </cell>
        </row>
        <row r="100">
          <cell r="B100">
            <v>5189164</v>
          </cell>
          <cell r="C100" t="str">
            <v>ZM INTERPLUS 256 ALUMINIUM- PART.B 5L</v>
          </cell>
          <cell r="D100" t="str">
            <v>Z001</v>
          </cell>
          <cell r="E100">
            <v>1</v>
          </cell>
          <cell r="F100">
            <v>2</v>
          </cell>
          <cell r="G100" t="str">
            <v>PC</v>
          </cell>
          <cell r="H100">
            <v>102895.96</v>
          </cell>
        </row>
        <row r="101">
          <cell r="B101">
            <v>5189165</v>
          </cell>
          <cell r="C101" t="str">
            <v>ZM INTERPRIME 198 GREY 20L</v>
          </cell>
          <cell r="D101" t="str">
            <v>Z001</v>
          </cell>
          <cell r="E101">
            <v>1</v>
          </cell>
          <cell r="F101">
            <v>24</v>
          </cell>
          <cell r="G101" t="str">
            <v>PC</v>
          </cell>
          <cell r="H101">
            <v>150724.14000000001</v>
          </cell>
        </row>
        <row r="102">
          <cell r="B102">
            <v>5189166</v>
          </cell>
          <cell r="C102" t="str">
            <v>ZM INTERPRIME 198 GREY 3,6L</v>
          </cell>
          <cell r="D102" t="str">
            <v>Z001</v>
          </cell>
          <cell r="E102">
            <v>1</v>
          </cell>
          <cell r="F102">
            <v>40</v>
          </cell>
          <cell r="G102" t="str">
            <v>PC</v>
          </cell>
          <cell r="H102">
            <v>24488.95</v>
          </cell>
        </row>
        <row r="103">
          <cell r="B103">
            <v>5189167</v>
          </cell>
          <cell r="C103" t="str">
            <v>ZM INTERPRIME 198 RED 20L</v>
          </cell>
          <cell r="D103" t="str">
            <v>Z001</v>
          </cell>
          <cell r="E103">
            <v>1</v>
          </cell>
          <cell r="F103">
            <v>48</v>
          </cell>
          <cell r="G103" t="str">
            <v>PC</v>
          </cell>
          <cell r="H103">
            <v>91460.94</v>
          </cell>
        </row>
        <row r="104">
          <cell r="B104">
            <v>5189170</v>
          </cell>
          <cell r="C104" t="str">
            <v>ZM INTERPRIME 222 GREY 20L</v>
          </cell>
          <cell r="D104" t="str">
            <v>Z001</v>
          </cell>
          <cell r="E104">
            <v>1</v>
          </cell>
          <cell r="F104">
            <v>96</v>
          </cell>
          <cell r="G104" t="str">
            <v>PC</v>
          </cell>
          <cell r="H104">
            <v>102076.4</v>
          </cell>
        </row>
        <row r="105">
          <cell r="B105">
            <v>5189171</v>
          </cell>
          <cell r="C105" t="str">
            <v>ZM INTERPRIME 222 GREY 3,6L</v>
          </cell>
          <cell r="D105" t="str">
            <v>Z001</v>
          </cell>
          <cell r="E105">
            <v>1</v>
          </cell>
          <cell r="F105">
            <v>0</v>
          </cell>
          <cell r="G105" t="str">
            <v>PC</v>
          </cell>
          <cell r="H105">
            <v>1308.3</v>
          </cell>
        </row>
        <row r="106">
          <cell r="B106">
            <v>5189172</v>
          </cell>
          <cell r="C106" t="str">
            <v>ZM INTERPRIME 222 RED 20L</v>
          </cell>
          <cell r="D106" t="str">
            <v>Z001</v>
          </cell>
          <cell r="E106">
            <v>1</v>
          </cell>
          <cell r="F106">
            <v>125</v>
          </cell>
          <cell r="G106" t="str">
            <v>PC</v>
          </cell>
          <cell r="H106">
            <v>66587.88</v>
          </cell>
        </row>
        <row r="107">
          <cell r="B107">
            <v>5189173</v>
          </cell>
          <cell r="C107" t="str">
            <v>ZM INTERPRIME 222 RED 3,6L</v>
          </cell>
          <cell r="D107" t="str">
            <v>Z001</v>
          </cell>
          <cell r="E107">
            <v>1</v>
          </cell>
          <cell r="F107">
            <v>144</v>
          </cell>
          <cell r="G107" t="str">
            <v>PC</v>
          </cell>
          <cell r="H107">
            <v>10089.85</v>
          </cell>
        </row>
        <row r="108">
          <cell r="B108">
            <v>5189184</v>
          </cell>
          <cell r="C108" t="str">
            <v>ZM INTERSEAL 211HS PART.B 2,86L</v>
          </cell>
          <cell r="D108" t="str">
            <v>Z001</v>
          </cell>
          <cell r="E108">
            <v>1</v>
          </cell>
          <cell r="F108">
            <v>100</v>
          </cell>
          <cell r="G108" t="str">
            <v>PC</v>
          </cell>
          <cell r="H108">
            <v>39252.400000000001</v>
          </cell>
        </row>
        <row r="109">
          <cell r="B109">
            <v>5189196</v>
          </cell>
          <cell r="C109" t="str">
            <v>ZM INTERSEAL 670HS AMARILLA BASE 2.63L</v>
          </cell>
          <cell r="D109" t="str">
            <v>Z001</v>
          </cell>
          <cell r="E109">
            <v>1</v>
          </cell>
          <cell r="F109">
            <v>159</v>
          </cell>
          <cell r="G109" t="str">
            <v>PC</v>
          </cell>
          <cell r="H109">
            <v>16616.09</v>
          </cell>
        </row>
        <row r="110">
          <cell r="B110">
            <v>5189199</v>
          </cell>
          <cell r="C110" t="str">
            <v>ZM INTERSEAL 670HS DEEP BASE 15,401L</v>
          </cell>
          <cell r="D110" t="str">
            <v>Z001</v>
          </cell>
          <cell r="E110">
            <v>1</v>
          </cell>
          <cell r="F110">
            <v>3</v>
          </cell>
          <cell r="G110" t="str">
            <v>PC</v>
          </cell>
          <cell r="H110">
            <v>68399.91</v>
          </cell>
        </row>
        <row r="111">
          <cell r="B111">
            <v>5189200</v>
          </cell>
          <cell r="C111" t="str">
            <v>ZM INTERSEAL 670HS DEEP BASE 2,772L</v>
          </cell>
          <cell r="D111" t="str">
            <v>Z001</v>
          </cell>
          <cell r="E111">
            <v>1</v>
          </cell>
          <cell r="F111">
            <v>239</v>
          </cell>
          <cell r="G111" t="str">
            <v>PC</v>
          </cell>
          <cell r="H111">
            <v>16764.060000000001</v>
          </cell>
        </row>
        <row r="112">
          <cell r="B112">
            <v>5189204</v>
          </cell>
          <cell r="C112" t="str">
            <v>ZM INTERSEAL 670HS LIGHT BASE 16,201L</v>
          </cell>
          <cell r="D112" t="str">
            <v>Z001</v>
          </cell>
          <cell r="E112">
            <v>1</v>
          </cell>
          <cell r="F112">
            <v>20</v>
          </cell>
          <cell r="G112" t="str">
            <v>PC</v>
          </cell>
          <cell r="H112">
            <v>73117.789999999994</v>
          </cell>
        </row>
        <row r="113">
          <cell r="B113">
            <v>5189206</v>
          </cell>
          <cell r="C113" t="str">
            <v>ZM INTERSEAL 670HS LIGHT BASE 2,916L</v>
          </cell>
          <cell r="D113" t="str">
            <v>Z001</v>
          </cell>
          <cell r="E113">
            <v>1</v>
          </cell>
          <cell r="F113">
            <v>225</v>
          </cell>
          <cell r="G113" t="str">
            <v>PC</v>
          </cell>
          <cell r="H113">
            <v>18477.86</v>
          </cell>
        </row>
        <row r="114">
          <cell r="B114">
            <v>5189208</v>
          </cell>
          <cell r="C114" t="str">
            <v>ZM INTERSEAL 670HS PART.B 3L</v>
          </cell>
          <cell r="D114" t="str">
            <v>Z001</v>
          </cell>
          <cell r="E114">
            <v>1</v>
          </cell>
          <cell r="F114">
            <v>0</v>
          </cell>
          <cell r="G114" t="str">
            <v>PC</v>
          </cell>
          <cell r="H114">
            <v>995.57</v>
          </cell>
        </row>
        <row r="115">
          <cell r="B115">
            <v>5189209</v>
          </cell>
          <cell r="C115" t="str">
            <v>ZM INTERSEAL 670HS WINTER  PART.B 0,54L</v>
          </cell>
          <cell r="D115" t="str">
            <v>Z001</v>
          </cell>
          <cell r="E115">
            <v>1</v>
          </cell>
          <cell r="F115">
            <v>523</v>
          </cell>
          <cell r="G115" t="str">
            <v>PC</v>
          </cell>
          <cell r="H115">
            <v>4266.03</v>
          </cell>
        </row>
        <row r="116">
          <cell r="B116">
            <v>5189210</v>
          </cell>
          <cell r="C116" t="str">
            <v>ZM INTERSEAL 670HS WINTER  PART.B 3L</v>
          </cell>
          <cell r="D116" t="str">
            <v>Z001</v>
          </cell>
          <cell r="E116">
            <v>1</v>
          </cell>
          <cell r="F116">
            <v>719</v>
          </cell>
          <cell r="G116" t="str">
            <v>PC</v>
          </cell>
          <cell r="H116">
            <v>24292.01</v>
          </cell>
        </row>
        <row r="117">
          <cell r="B117">
            <v>5189214</v>
          </cell>
          <cell r="C117" t="str">
            <v>ZM INTERSHEEN 579 DEEP BASE 17.6L</v>
          </cell>
          <cell r="D117" t="str">
            <v>Z001</v>
          </cell>
          <cell r="E117">
            <v>1</v>
          </cell>
          <cell r="F117">
            <v>64</v>
          </cell>
          <cell r="G117" t="str">
            <v>PC</v>
          </cell>
          <cell r="H117">
            <v>202879.94</v>
          </cell>
        </row>
        <row r="118">
          <cell r="B118">
            <v>5189218</v>
          </cell>
          <cell r="C118" t="str">
            <v>ZM INTERSHEEN 579 LIGHT BASE 3.528L</v>
          </cell>
          <cell r="D118" t="str">
            <v>Z001</v>
          </cell>
          <cell r="E118">
            <v>1</v>
          </cell>
          <cell r="F118">
            <v>60</v>
          </cell>
          <cell r="G118" t="str">
            <v>PC</v>
          </cell>
          <cell r="H118">
            <v>10952.07</v>
          </cell>
        </row>
        <row r="119">
          <cell r="B119">
            <v>5189220</v>
          </cell>
          <cell r="C119" t="str">
            <v>ZM INTERSHEEN 579 WHITE 20L</v>
          </cell>
          <cell r="D119" t="str">
            <v>Z001</v>
          </cell>
          <cell r="E119">
            <v>1</v>
          </cell>
          <cell r="F119">
            <v>77</v>
          </cell>
          <cell r="G119" t="str">
            <v>PC</v>
          </cell>
          <cell r="H119">
            <v>167985.98</v>
          </cell>
        </row>
        <row r="120">
          <cell r="B120">
            <v>5189221</v>
          </cell>
          <cell r="C120" t="str">
            <v>ZM INTERSHEEN 579 WHITE 3,6L</v>
          </cell>
          <cell r="D120" t="str">
            <v>Z001</v>
          </cell>
          <cell r="E120">
            <v>1</v>
          </cell>
          <cell r="F120">
            <v>98</v>
          </cell>
          <cell r="G120" t="str">
            <v>PC</v>
          </cell>
          <cell r="H120">
            <v>21889.01</v>
          </cell>
        </row>
        <row r="121">
          <cell r="B121">
            <v>5189229</v>
          </cell>
          <cell r="C121" t="str">
            <v>ZM INTERSHIELD 300 ALUMINIUM P/A 14,283L</v>
          </cell>
          <cell r="D121" t="str">
            <v>Z001</v>
          </cell>
          <cell r="E121">
            <v>1</v>
          </cell>
          <cell r="F121">
            <v>147</v>
          </cell>
          <cell r="G121" t="str">
            <v>PC</v>
          </cell>
          <cell r="H121">
            <v>116239.16</v>
          </cell>
        </row>
        <row r="122">
          <cell r="B122">
            <v>5189230</v>
          </cell>
          <cell r="C122" t="str">
            <v>ZM INTERSHIELD 300 ALUMINIUM- PT.A 2,57L</v>
          </cell>
          <cell r="D122" t="str">
            <v>Z001</v>
          </cell>
          <cell r="E122">
            <v>1</v>
          </cell>
          <cell r="F122">
            <v>5</v>
          </cell>
          <cell r="G122" t="str">
            <v>PC</v>
          </cell>
          <cell r="H122">
            <v>21886.93</v>
          </cell>
        </row>
        <row r="123">
          <cell r="B123">
            <v>5189232</v>
          </cell>
          <cell r="C123" t="str">
            <v>ZM INTERSHIELD 300 BRONZE - PART.A 2,57L</v>
          </cell>
          <cell r="D123" t="str">
            <v>Z001</v>
          </cell>
          <cell r="E123">
            <v>1</v>
          </cell>
          <cell r="F123">
            <v>114</v>
          </cell>
          <cell r="G123" t="str">
            <v>PC</v>
          </cell>
          <cell r="H123">
            <v>14962.92</v>
          </cell>
        </row>
        <row r="124">
          <cell r="B124">
            <v>5189233</v>
          </cell>
          <cell r="C124" t="str">
            <v>INTERSHIELD 300 ENA300/20L/BR</v>
          </cell>
          <cell r="D124" t="str">
            <v>Z001</v>
          </cell>
          <cell r="E124">
            <v>1</v>
          </cell>
          <cell r="F124">
            <v>75</v>
          </cell>
          <cell r="G124" t="str">
            <v>PC</v>
          </cell>
          <cell r="H124">
            <v>116720.71</v>
          </cell>
        </row>
        <row r="125">
          <cell r="B125">
            <v>5189234</v>
          </cell>
          <cell r="C125" t="str">
            <v>ZM INTERSHIELD 300 PART.B DISC 1,03L</v>
          </cell>
          <cell r="D125" t="str">
            <v>Z001</v>
          </cell>
          <cell r="E125">
            <v>1</v>
          </cell>
          <cell r="F125">
            <v>286</v>
          </cell>
          <cell r="G125" t="str">
            <v>PC</v>
          </cell>
          <cell r="H125">
            <v>8794.98</v>
          </cell>
        </row>
        <row r="126">
          <cell r="B126">
            <v>5189237</v>
          </cell>
          <cell r="C126" t="str">
            <v>INTERSHIELD 300 ENA303/5.7L/BR</v>
          </cell>
          <cell r="D126" t="str">
            <v>Z001</v>
          </cell>
          <cell r="E126">
            <v>1</v>
          </cell>
          <cell r="F126">
            <v>238</v>
          </cell>
          <cell r="G126" t="str">
            <v>PC</v>
          </cell>
          <cell r="H126">
            <v>42902.25</v>
          </cell>
        </row>
        <row r="127">
          <cell r="B127">
            <v>5189241</v>
          </cell>
          <cell r="C127" t="str">
            <v>ZM INTERSHIELD 417 GREY 3,05L</v>
          </cell>
          <cell r="D127" t="str">
            <v>Z001</v>
          </cell>
          <cell r="E127">
            <v>1</v>
          </cell>
          <cell r="F127">
            <v>423</v>
          </cell>
          <cell r="G127" t="str">
            <v>PC</v>
          </cell>
          <cell r="H127">
            <v>33007.97</v>
          </cell>
        </row>
        <row r="128">
          <cell r="B128">
            <v>5189242</v>
          </cell>
          <cell r="C128" t="str">
            <v>ZM INTERSHIELD 417 PART.B 0,55L</v>
          </cell>
          <cell r="D128" t="str">
            <v>Z001</v>
          </cell>
          <cell r="E128">
            <v>1</v>
          </cell>
          <cell r="F128">
            <v>422</v>
          </cell>
          <cell r="G128" t="str">
            <v>PC</v>
          </cell>
          <cell r="H128">
            <v>12157.63</v>
          </cell>
        </row>
        <row r="129">
          <cell r="B129">
            <v>5189246</v>
          </cell>
          <cell r="C129" t="str">
            <v>INTERSHIELD 6GV EGA650/6GL/KIT/UH</v>
          </cell>
          <cell r="D129" t="str">
            <v>Z001</v>
          </cell>
          <cell r="E129">
            <v>1</v>
          </cell>
          <cell r="F129">
            <v>0</v>
          </cell>
          <cell r="G129" t="str">
            <v>PC</v>
          </cell>
          <cell r="H129">
            <v>43577.54</v>
          </cell>
        </row>
        <row r="130">
          <cell r="B130">
            <v>5189255</v>
          </cell>
          <cell r="C130" t="str">
            <v>ZM INTERSLEEK 731 LIGHT PINK 3,78L</v>
          </cell>
          <cell r="D130" t="str">
            <v>Z001</v>
          </cell>
          <cell r="E130">
            <v>1</v>
          </cell>
          <cell r="F130">
            <v>0</v>
          </cell>
          <cell r="G130" t="str">
            <v>PC</v>
          </cell>
          <cell r="H130">
            <v>261.54000000000002</v>
          </cell>
        </row>
        <row r="131">
          <cell r="B131">
            <v>5189270</v>
          </cell>
          <cell r="C131" t="str">
            <v>ZM INTERSMOOTH 360SPC BLACK 20L</v>
          </cell>
          <cell r="D131" t="str">
            <v>Z001</v>
          </cell>
          <cell r="E131">
            <v>1</v>
          </cell>
          <cell r="F131">
            <v>0</v>
          </cell>
          <cell r="G131" t="str">
            <v>PC</v>
          </cell>
          <cell r="H131">
            <v>168091.01</v>
          </cell>
        </row>
        <row r="132">
          <cell r="B132">
            <v>5189282</v>
          </cell>
          <cell r="C132" t="str">
            <v>ZM INTERSPEED 6200 BROWN 20L</v>
          </cell>
          <cell r="D132" t="str">
            <v>Z001</v>
          </cell>
          <cell r="E132">
            <v>1</v>
          </cell>
          <cell r="F132">
            <v>44</v>
          </cell>
          <cell r="G132" t="str">
            <v>PC</v>
          </cell>
          <cell r="H132">
            <v>415233.72</v>
          </cell>
        </row>
        <row r="133">
          <cell r="B133">
            <v>5189286</v>
          </cell>
          <cell r="C133" t="str">
            <v>ZM INTERSPEED 6200 RED 20L</v>
          </cell>
          <cell r="D133" t="str">
            <v>Z001</v>
          </cell>
          <cell r="E133">
            <v>1</v>
          </cell>
          <cell r="F133">
            <v>70</v>
          </cell>
          <cell r="G133" t="str">
            <v>PC</v>
          </cell>
          <cell r="H133">
            <v>382560.85</v>
          </cell>
        </row>
        <row r="134">
          <cell r="B134">
            <v>5189310</v>
          </cell>
          <cell r="C134" t="str">
            <v>ZM INTERTHANE 990 ALUMINIUMRAL9006 3,09L</v>
          </cell>
          <cell r="D134" t="str">
            <v>Z001</v>
          </cell>
          <cell r="E134">
            <v>1</v>
          </cell>
          <cell r="F134">
            <v>26</v>
          </cell>
          <cell r="G134" t="str">
            <v>PC</v>
          </cell>
          <cell r="H134">
            <v>24732.959999999999</v>
          </cell>
        </row>
        <row r="135">
          <cell r="B135">
            <v>5189311</v>
          </cell>
          <cell r="C135" t="str">
            <v>ZM INTERTHANE 990 AMARILLA BASE 15.083L</v>
          </cell>
          <cell r="D135" t="str">
            <v>Z001</v>
          </cell>
          <cell r="E135">
            <v>1</v>
          </cell>
          <cell r="F135">
            <v>6</v>
          </cell>
          <cell r="G135" t="str">
            <v>PC</v>
          </cell>
          <cell r="H135">
            <v>90714.03</v>
          </cell>
        </row>
        <row r="136">
          <cell r="B136">
            <v>5189312</v>
          </cell>
          <cell r="C136" t="str">
            <v>ZM INTERTHANE 990 AMARILLA BASE 2.715L</v>
          </cell>
          <cell r="D136" t="str">
            <v>Z001</v>
          </cell>
          <cell r="E136">
            <v>1</v>
          </cell>
          <cell r="F136">
            <v>50</v>
          </cell>
          <cell r="G136" t="str">
            <v>PC</v>
          </cell>
          <cell r="H136">
            <v>17451.91</v>
          </cell>
        </row>
        <row r="137">
          <cell r="B137">
            <v>5189317</v>
          </cell>
          <cell r="C137" t="str">
            <v>ZM INTERTHANE 990 DEEP BASE 15,083L</v>
          </cell>
          <cell r="D137" t="str">
            <v>Z001</v>
          </cell>
          <cell r="E137">
            <v>1</v>
          </cell>
          <cell r="F137">
            <v>556</v>
          </cell>
          <cell r="G137" t="str">
            <v>PC</v>
          </cell>
          <cell r="H137">
            <v>80860.09</v>
          </cell>
        </row>
        <row r="138">
          <cell r="B138">
            <v>5189318</v>
          </cell>
          <cell r="C138" t="str">
            <v>ZM INTERTHANE 990 DEEP BASE 2,715L</v>
          </cell>
          <cell r="D138" t="str">
            <v>Z001</v>
          </cell>
          <cell r="E138">
            <v>1</v>
          </cell>
          <cell r="F138">
            <v>633</v>
          </cell>
          <cell r="G138" t="str">
            <v>PC</v>
          </cell>
          <cell r="H138">
            <v>17289.82</v>
          </cell>
        </row>
        <row r="139">
          <cell r="B139">
            <v>5189320</v>
          </cell>
          <cell r="C139" t="str">
            <v>ZM INTERTHANE 990 GREY 3,09L</v>
          </cell>
          <cell r="D139" t="str">
            <v>Z001</v>
          </cell>
          <cell r="E139">
            <v>1</v>
          </cell>
          <cell r="F139">
            <v>12</v>
          </cell>
          <cell r="G139" t="str">
            <v>PC</v>
          </cell>
          <cell r="H139">
            <v>23754.01</v>
          </cell>
        </row>
        <row r="140">
          <cell r="B140">
            <v>5189323</v>
          </cell>
          <cell r="C140" t="str">
            <v>ZM INTERTHANE 990 LIGHT BASE 16,803L</v>
          </cell>
          <cell r="D140" t="str">
            <v>Z001</v>
          </cell>
          <cell r="E140">
            <v>1</v>
          </cell>
          <cell r="F140">
            <v>21</v>
          </cell>
          <cell r="G140" t="str">
            <v>PC</v>
          </cell>
          <cell r="H140">
            <v>100800.91</v>
          </cell>
        </row>
        <row r="141">
          <cell r="B141">
            <v>5189324</v>
          </cell>
          <cell r="C141" t="str">
            <v>ZM INTERTHANE 990 LIGHT BASE 3,024L</v>
          </cell>
          <cell r="D141" t="str">
            <v>Z001</v>
          </cell>
          <cell r="E141">
            <v>1</v>
          </cell>
          <cell r="F141">
            <v>88</v>
          </cell>
          <cell r="G141" t="str">
            <v>PC</v>
          </cell>
          <cell r="H141">
            <v>19257.07</v>
          </cell>
        </row>
        <row r="142">
          <cell r="B142">
            <v>5189326</v>
          </cell>
          <cell r="C142" t="str">
            <v>ZM INTERTHANE 990 ORANGE BASE 15.083L</v>
          </cell>
          <cell r="D142" t="str">
            <v>Z001</v>
          </cell>
          <cell r="E142">
            <v>1</v>
          </cell>
          <cell r="F142">
            <v>16</v>
          </cell>
          <cell r="G142" t="str">
            <v>PC</v>
          </cell>
          <cell r="H142">
            <v>243537.45</v>
          </cell>
        </row>
        <row r="143">
          <cell r="B143">
            <v>5189327</v>
          </cell>
          <cell r="C143" t="str">
            <v>ZM INTERTHANE 990 NARNAJA BASE 2,715L</v>
          </cell>
          <cell r="D143" t="str">
            <v>Z001</v>
          </cell>
          <cell r="E143">
            <v>1</v>
          </cell>
          <cell r="F143">
            <v>0</v>
          </cell>
          <cell r="G143" t="str">
            <v>PC</v>
          </cell>
          <cell r="H143">
            <v>555.63</v>
          </cell>
        </row>
        <row r="144">
          <cell r="B144">
            <v>5189333</v>
          </cell>
          <cell r="C144" t="str">
            <v>ZM INTERTHERM 1055 ALUMINIUM 3,6L</v>
          </cell>
          <cell r="D144" t="str">
            <v>Z001</v>
          </cell>
          <cell r="E144">
            <v>1</v>
          </cell>
          <cell r="F144">
            <v>85</v>
          </cell>
          <cell r="G144" t="str">
            <v>PC</v>
          </cell>
          <cell r="H144">
            <v>17791.36</v>
          </cell>
        </row>
        <row r="145">
          <cell r="B145">
            <v>5189340</v>
          </cell>
          <cell r="C145" t="str">
            <v>ZM INTERTHERM 875 GREY N6,5 3,6L</v>
          </cell>
          <cell r="D145" t="str">
            <v>Z001</v>
          </cell>
          <cell r="E145">
            <v>1</v>
          </cell>
          <cell r="F145">
            <v>41</v>
          </cell>
          <cell r="G145" t="str">
            <v>PC</v>
          </cell>
          <cell r="H145">
            <v>46682.25</v>
          </cell>
        </row>
        <row r="146">
          <cell r="B146">
            <v>5189354</v>
          </cell>
          <cell r="C146" t="str">
            <v>INTERTUF 262 KHA304/20L/BR</v>
          </cell>
          <cell r="D146" t="str">
            <v>Z001</v>
          </cell>
          <cell r="E146">
            <v>1</v>
          </cell>
          <cell r="F146">
            <v>18</v>
          </cell>
          <cell r="G146" t="str">
            <v>PC</v>
          </cell>
          <cell r="H146">
            <v>86226.4</v>
          </cell>
        </row>
        <row r="147">
          <cell r="B147">
            <v>5189355</v>
          </cell>
          <cell r="C147" t="str">
            <v>ZM INTERTUF 262 GREY 16L</v>
          </cell>
          <cell r="D147" t="str">
            <v>Z001</v>
          </cell>
          <cell r="E147">
            <v>1</v>
          </cell>
          <cell r="F147">
            <v>172</v>
          </cell>
          <cell r="G147" t="str">
            <v>PC</v>
          </cell>
          <cell r="H147">
            <v>90237.63</v>
          </cell>
        </row>
        <row r="148">
          <cell r="B148">
            <v>5189356</v>
          </cell>
          <cell r="C148" t="str">
            <v>ZM INTERTUF 262 GREY 2,88L</v>
          </cell>
          <cell r="D148" t="str">
            <v>Z001</v>
          </cell>
          <cell r="E148">
            <v>1</v>
          </cell>
          <cell r="F148">
            <v>240</v>
          </cell>
          <cell r="G148" t="str">
            <v>PC</v>
          </cell>
          <cell r="H148">
            <v>18511.810000000001</v>
          </cell>
        </row>
        <row r="149">
          <cell r="B149">
            <v>5189357</v>
          </cell>
          <cell r="C149" t="str">
            <v>INTERTUF 262 KHA062/1L/BR</v>
          </cell>
          <cell r="D149" t="str">
            <v>Z001</v>
          </cell>
          <cell r="E149">
            <v>1</v>
          </cell>
          <cell r="F149">
            <v>369</v>
          </cell>
          <cell r="G149" t="str">
            <v>PC</v>
          </cell>
          <cell r="H149">
            <v>10139.98</v>
          </cell>
        </row>
        <row r="150">
          <cell r="B150">
            <v>5189360</v>
          </cell>
          <cell r="C150" t="str">
            <v>INTERTUF 262 KHA303/20L/BR</v>
          </cell>
          <cell r="D150" t="str">
            <v>Z001</v>
          </cell>
          <cell r="E150">
            <v>1</v>
          </cell>
          <cell r="F150">
            <v>177</v>
          </cell>
          <cell r="G150" t="str">
            <v>PC</v>
          </cell>
          <cell r="H150">
            <v>84099.44</v>
          </cell>
        </row>
        <row r="151">
          <cell r="B151">
            <v>5189361</v>
          </cell>
          <cell r="C151" t="str">
            <v>INTERTUF 262 KHA303/3.7L/BR</v>
          </cell>
          <cell r="D151" t="str">
            <v>Z001</v>
          </cell>
          <cell r="E151">
            <v>1</v>
          </cell>
          <cell r="F151">
            <v>61</v>
          </cell>
          <cell r="G151" t="str">
            <v>PC</v>
          </cell>
          <cell r="H151">
            <v>14273.35</v>
          </cell>
        </row>
        <row r="152">
          <cell r="B152">
            <v>5189363</v>
          </cell>
          <cell r="C152" t="str">
            <v>ZM INTERTUF 262 WHITE 2,88L</v>
          </cell>
          <cell r="D152" t="str">
            <v>Z001</v>
          </cell>
          <cell r="E152">
            <v>1</v>
          </cell>
          <cell r="F152">
            <v>197</v>
          </cell>
          <cell r="G152" t="str">
            <v>PC</v>
          </cell>
          <cell r="H152">
            <v>32632.58</v>
          </cell>
        </row>
        <row r="153">
          <cell r="B153">
            <v>5189370</v>
          </cell>
          <cell r="C153" t="str">
            <v>ZM INTERZINC 22 GREENISH GRAY 10.42L</v>
          </cell>
          <cell r="D153" t="str">
            <v>Z001</v>
          </cell>
          <cell r="E153">
            <v>1</v>
          </cell>
          <cell r="F153">
            <v>0</v>
          </cell>
          <cell r="G153" t="str">
            <v>PC</v>
          </cell>
          <cell r="H153">
            <v>1839.67</v>
          </cell>
        </row>
        <row r="154">
          <cell r="B154">
            <v>5189372</v>
          </cell>
          <cell r="C154" t="str">
            <v>ZM INTERZINC 22/2280/2277 3,36LT</v>
          </cell>
          <cell r="D154" t="str">
            <v>Z001</v>
          </cell>
          <cell r="E154">
            <v>1</v>
          </cell>
          <cell r="F154">
            <v>0</v>
          </cell>
          <cell r="G154" t="str">
            <v>PC</v>
          </cell>
          <cell r="H154">
            <v>4193.38</v>
          </cell>
        </row>
        <row r="155">
          <cell r="B155">
            <v>5189379</v>
          </cell>
          <cell r="C155" t="str">
            <v>INTERZONE 101 EAA001/1.8L/BR</v>
          </cell>
          <cell r="D155" t="str">
            <v>Z001</v>
          </cell>
          <cell r="E155">
            <v>1</v>
          </cell>
          <cell r="F155">
            <v>0</v>
          </cell>
          <cell r="G155" t="str">
            <v>PC</v>
          </cell>
          <cell r="H155">
            <v>18619.37</v>
          </cell>
        </row>
        <row r="156">
          <cell r="B156">
            <v>5189380</v>
          </cell>
          <cell r="C156" t="str">
            <v>INTERZONE 101 EAA002/1.8L/BR</v>
          </cell>
          <cell r="D156" t="str">
            <v>Z001</v>
          </cell>
          <cell r="E156">
            <v>1</v>
          </cell>
          <cell r="F156">
            <v>0</v>
          </cell>
          <cell r="G156" t="str">
            <v>PC</v>
          </cell>
          <cell r="H156">
            <v>19388.689999999999</v>
          </cell>
        </row>
        <row r="157">
          <cell r="B157">
            <v>5189382</v>
          </cell>
          <cell r="C157" t="str">
            <v>ZM INTERZONE 954 GREY N6,5 2,88L</v>
          </cell>
          <cell r="D157" t="str">
            <v>Z001</v>
          </cell>
          <cell r="E157">
            <v>1</v>
          </cell>
          <cell r="F157">
            <v>61</v>
          </cell>
          <cell r="G157" t="str">
            <v>PC</v>
          </cell>
          <cell r="H157">
            <v>22096.33</v>
          </cell>
        </row>
        <row r="158">
          <cell r="B158">
            <v>5189383</v>
          </cell>
          <cell r="C158" t="str">
            <v>ZM INTERZONE 954 LIGHT BASE 2,772L</v>
          </cell>
          <cell r="D158" t="str">
            <v>Z001</v>
          </cell>
          <cell r="E158">
            <v>1</v>
          </cell>
          <cell r="F158">
            <v>0</v>
          </cell>
          <cell r="G158" t="str">
            <v>PC</v>
          </cell>
          <cell r="H158">
            <v>187.36</v>
          </cell>
        </row>
        <row r="159">
          <cell r="B159">
            <v>5189385</v>
          </cell>
          <cell r="C159" t="str">
            <v>ZM INTERZONE 954 ULTRA DEEP BASE 2,592L</v>
          </cell>
          <cell r="D159" t="str">
            <v>Z001</v>
          </cell>
          <cell r="E159">
            <v>1</v>
          </cell>
          <cell r="F159">
            <v>1</v>
          </cell>
          <cell r="G159" t="str">
            <v>PC</v>
          </cell>
          <cell r="H159">
            <v>19239.68</v>
          </cell>
        </row>
        <row r="160">
          <cell r="B160">
            <v>5193158</v>
          </cell>
          <cell r="C160" t="str">
            <v>ZM INTERCURE 420 SILVER GRAY  15L</v>
          </cell>
          <cell r="D160" t="str">
            <v>Z001</v>
          </cell>
          <cell r="E160">
            <v>1</v>
          </cell>
          <cell r="F160">
            <v>20</v>
          </cell>
          <cell r="G160" t="str">
            <v>PC</v>
          </cell>
          <cell r="H160">
            <v>80952.88</v>
          </cell>
        </row>
        <row r="161">
          <cell r="B161">
            <v>5193159</v>
          </cell>
          <cell r="C161" t="str">
            <v>ZM INTERCURE 420 PART B  5L</v>
          </cell>
          <cell r="D161" t="str">
            <v>Z001</v>
          </cell>
          <cell r="E161">
            <v>1</v>
          </cell>
          <cell r="F161">
            <v>37</v>
          </cell>
          <cell r="G161" t="str">
            <v>PC</v>
          </cell>
          <cell r="H161">
            <v>52126.17</v>
          </cell>
        </row>
        <row r="162">
          <cell r="B162">
            <v>5193234</v>
          </cell>
          <cell r="C162" t="str">
            <v>ZM INTERGARD 345 PART B 4L</v>
          </cell>
          <cell r="D162" t="str">
            <v>Z001</v>
          </cell>
          <cell r="E162">
            <v>1</v>
          </cell>
          <cell r="F162">
            <v>66</v>
          </cell>
          <cell r="G162" t="str">
            <v>PC</v>
          </cell>
          <cell r="H162">
            <v>116699.23</v>
          </cell>
        </row>
        <row r="163">
          <cell r="B163">
            <v>5196342</v>
          </cell>
          <cell r="C163" t="str">
            <v>ZM INTERTHANE 990 ORANGE INT MAR 17,17L</v>
          </cell>
          <cell r="D163" t="str">
            <v>Z001</v>
          </cell>
          <cell r="E163">
            <v>1</v>
          </cell>
          <cell r="F163">
            <v>44</v>
          </cell>
          <cell r="G163" t="str">
            <v>PC</v>
          </cell>
          <cell r="H163">
            <v>91714.45</v>
          </cell>
        </row>
        <row r="164">
          <cell r="B164">
            <v>5207255</v>
          </cell>
          <cell r="C164" t="str">
            <v>ZM INTERZONE 954 GREY 16L</v>
          </cell>
          <cell r="D164" t="str">
            <v>Z001</v>
          </cell>
          <cell r="E164">
            <v>1</v>
          </cell>
          <cell r="F164">
            <v>5</v>
          </cell>
          <cell r="G164" t="str">
            <v>PC</v>
          </cell>
          <cell r="H164">
            <v>112753.48</v>
          </cell>
        </row>
        <row r="165">
          <cell r="B165">
            <v>5207623</v>
          </cell>
          <cell r="C165" t="str">
            <v>INTERSWIFT 6600 BMA674/20L/BR</v>
          </cell>
          <cell r="D165" t="str">
            <v>Z001</v>
          </cell>
          <cell r="E165">
            <v>1</v>
          </cell>
          <cell r="F165">
            <v>0</v>
          </cell>
          <cell r="G165" t="str">
            <v>PC</v>
          </cell>
          <cell r="H165">
            <v>4877.6400000000003</v>
          </cell>
        </row>
        <row r="166">
          <cell r="B166">
            <v>5214536</v>
          </cell>
          <cell r="C166" t="str">
            <v>ZM INTERFILL 833 PART A</v>
          </cell>
          <cell r="D166" t="str">
            <v>Z001</v>
          </cell>
          <cell r="E166">
            <v>1</v>
          </cell>
          <cell r="F166">
            <v>125</v>
          </cell>
          <cell r="G166" t="str">
            <v>PC</v>
          </cell>
          <cell r="H166">
            <v>64170.35</v>
          </cell>
        </row>
        <row r="167">
          <cell r="B167">
            <v>5214537</v>
          </cell>
          <cell r="C167" t="str">
            <v>ZM INTERFILL 833 OFF WHITE STD PART</v>
          </cell>
          <cell r="D167" t="str">
            <v>Z001</v>
          </cell>
          <cell r="E167">
            <v>1</v>
          </cell>
          <cell r="F167">
            <v>125</v>
          </cell>
          <cell r="G167" t="str">
            <v>PC</v>
          </cell>
          <cell r="H167">
            <v>58805.69</v>
          </cell>
        </row>
        <row r="168">
          <cell r="B168">
            <v>5214540</v>
          </cell>
          <cell r="C168" t="str">
            <v>ZM GELSHIELD 200 GREY</v>
          </cell>
          <cell r="D168" t="str">
            <v>Z001</v>
          </cell>
          <cell r="E168">
            <v>1</v>
          </cell>
          <cell r="F168">
            <v>72</v>
          </cell>
          <cell r="G168" t="str">
            <v>PC</v>
          </cell>
          <cell r="H168">
            <v>41955.92</v>
          </cell>
        </row>
        <row r="169">
          <cell r="B169">
            <v>5214548</v>
          </cell>
          <cell r="C169" t="str">
            <v>ZM INTERFILL 830 GREY PART A</v>
          </cell>
          <cell r="D169" t="str">
            <v>Z001</v>
          </cell>
          <cell r="E169">
            <v>1</v>
          </cell>
          <cell r="F169">
            <v>0</v>
          </cell>
          <cell r="G169" t="str">
            <v>PC</v>
          </cell>
          <cell r="H169">
            <v>65418.18</v>
          </cell>
        </row>
        <row r="170">
          <cell r="B170">
            <v>5216405</v>
          </cell>
          <cell r="C170" t="str">
            <v>ZM INTERSEAL 211HS GRAY 17,14L</v>
          </cell>
          <cell r="D170" t="str">
            <v>Z001</v>
          </cell>
          <cell r="E170">
            <v>1</v>
          </cell>
          <cell r="F170">
            <v>63</v>
          </cell>
          <cell r="G170" t="str">
            <v>PC</v>
          </cell>
          <cell r="H170">
            <v>119637.48</v>
          </cell>
        </row>
        <row r="171">
          <cell r="B171">
            <v>5216695</v>
          </cell>
          <cell r="C171" t="str">
            <v>ZM PRIMOCON GREY 2,5L</v>
          </cell>
          <cell r="D171" t="str">
            <v>Z001</v>
          </cell>
          <cell r="E171">
            <v>1</v>
          </cell>
          <cell r="F171">
            <v>126</v>
          </cell>
          <cell r="G171" t="str">
            <v>PC</v>
          </cell>
          <cell r="H171">
            <v>35860.839999999997</v>
          </cell>
        </row>
        <row r="172">
          <cell r="B172">
            <v>5219744</v>
          </cell>
          <cell r="C172" t="str">
            <v>ZM INTERSHEEN 579  Base Forte 3,168L</v>
          </cell>
          <cell r="D172" t="str">
            <v>Z001</v>
          </cell>
          <cell r="E172">
            <v>1</v>
          </cell>
          <cell r="F172">
            <v>19</v>
          </cell>
          <cell r="G172" t="str">
            <v>PC</v>
          </cell>
          <cell r="H172">
            <v>17205.21</v>
          </cell>
        </row>
        <row r="173">
          <cell r="B173">
            <v>5228026</v>
          </cell>
          <cell r="C173" t="str">
            <v>ZM YACHT SCHOONER GOLD 0,75L</v>
          </cell>
          <cell r="D173" t="str">
            <v>Z001</v>
          </cell>
          <cell r="E173">
            <v>1</v>
          </cell>
          <cell r="F173">
            <v>0</v>
          </cell>
          <cell r="G173" t="str">
            <v>PC</v>
          </cell>
          <cell r="H173">
            <v>566.36</v>
          </cell>
        </row>
        <row r="174">
          <cell r="B174">
            <v>5231940</v>
          </cell>
          <cell r="C174" t="str">
            <v>ZM INTERPLATE 5805 GREY x 7,11L</v>
          </cell>
          <cell r="D174" t="str">
            <v>Z001</v>
          </cell>
          <cell r="E174">
            <v>1</v>
          </cell>
          <cell r="F174">
            <v>0</v>
          </cell>
          <cell r="G174" t="str">
            <v>PC</v>
          </cell>
          <cell r="H174">
            <v>44198.31</v>
          </cell>
        </row>
        <row r="175">
          <cell r="B175">
            <v>5237561</v>
          </cell>
          <cell r="C175" t="str">
            <v>ZM INTERTUF 262 BASE FORTE  2,592L</v>
          </cell>
          <cell r="D175" t="str">
            <v>Z001</v>
          </cell>
          <cell r="E175">
            <v>1</v>
          </cell>
          <cell r="F175">
            <v>72</v>
          </cell>
          <cell r="G175" t="str">
            <v>PC</v>
          </cell>
          <cell r="H175">
            <v>13335.02</v>
          </cell>
        </row>
        <row r="176">
          <cell r="B176">
            <v>5245695</v>
          </cell>
          <cell r="C176" t="str">
            <v>ZM INTERSEAL 1509 WHITE 20L</v>
          </cell>
          <cell r="D176" t="str">
            <v>Z001</v>
          </cell>
          <cell r="E176">
            <v>1</v>
          </cell>
          <cell r="F176">
            <v>221</v>
          </cell>
          <cell r="G176" t="str">
            <v>PC</v>
          </cell>
          <cell r="H176">
            <v>124567.81</v>
          </cell>
        </row>
        <row r="177">
          <cell r="B177">
            <v>5245696</v>
          </cell>
          <cell r="C177" t="str">
            <v>INTERSEAL 1509 KJA046/20L/BR</v>
          </cell>
          <cell r="D177" t="str">
            <v>Z001</v>
          </cell>
          <cell r="E177">
            <v>1</v>
          </cell>
          <cell r="F177">
            <v>240</v>
          </cell>
          <cell r="G177" t="str">
            <v>PC</v>
          </cell>
          <cell r="H177">
            <v>102224.37</v>
          </cell>
        </row>
        <row r="178">
          <cell r="B178">
            <v>5245697</v>
          </cell>
          <cell r="C178" t="str">
            <v>INTERSEAL 1509 KJJ684/20L/BR</v>
          </cell>
          <cell r="D178" t="str">
            <v>Z001</v>
          </cell>
          <cell r="E178">
            <v>1</v>
          </cell>
          <cell r="F178">
            <v>8</v>
          </cell>
          <cell r="G178" t="str">
            <v>PC</v>
          </cell>
          <cell r="H178">
            <v>130195.31</v>
          </cell>
        </row>
        <row r="179">
          <cell r="B179">
            <v>5250528</v>
          </cell>
          <cell r="C179" t="str">
            <v>INTERCHAR 2060 HFA060/20L/EU</v>
          </cell>
          <cell r="D179" t="str">
            <v>Z001</v>
          </cell>
          <cell r="E179">
            <v>1</v>
          </cell>
          <cell r="F179">
            <v>192</v>
          </cell>
          <cell r="G179" t="str">
            <v>PC</v>
          </cell>
          <cell r="H179">
            <v>132640.57</v>
          </cell>
        </row>
        <row r="180">
          <cell r="B180">
            <v>5250570</v>
          </cell>
          <cell r="C180" t="str">
            <v>INTERCHAR 1260 HFA260/20L/EU</v>
          </cell>
          <cell r="D180" t="str">
            <v>Z001</v>
          </cell>
          <cell r="E180">
            <v>1</v>
          </cell>
          <cell r="F180">
            <v>239</v>
          </cell>
          <cell r="G180" t="str">
            <v>PC</v>
          </cell>
          <cell r="H180">
            <v>150211.71</v>
          </cell>
        </row>
        <row r="181">
          <cell r="B181">
            <v>5253539</v>
          </cell>
          <cell r="C181" t="str">
            <v>ZM INTERSEAL 1509 PART B x 3,6L</v>
          </cell>
          <cell r="D181" t="str">
            <v>Z001</v>
          </cell>
          <cell r="E181">
            <v>1</v>
          </cell>
          <cell r="F181">
            <v>564</v>
          </cell>
          <cell r="G181" t="str">
            <v>PC</v>
          </cell>
          <cell r="H181">
            <v>20644.71</v>
          </cell>
        </row>
        <row r="182">
          <cell r="B182">
            <v>5253543</v>
          </cell>
          <cell r="C182" t="str">
            <v>ZM INTERSEAL 1509 GRAY N6,5 x 3,6L</v>
          </cell>
          <cell r="D182" t="str">
            <v>Z001</v>
          </cell>
          <cell r="E182">
            <v>1</v>
          </cell>
          <cell r="F182">
            <v>163</v>
          </cell>
          <cell r="G182" t="str">
            <v>PC</v>
          </cell>
          <cell r="H182">
            <v>22549.46</v>
          </cell>
        </row>
        <row r="183">
          <cell r="B183">
            <v>5253718</v>
          </cell>
          <cell r="C183" t="str">
            <v>ZM INTERNATIONAL GTA220LS x 20L</v>
          </cell>
          <cell r="D183" t="str">
            <v>7920</v>
          </cell>
          <cell r="E183">
            <v>1</v>
          </cell>
          <cell r="F183">
            <v>159</v>
          </cell>
          <cell r="G183" t="str">
            <v>PC</v>
          </cell>
          <cell r="H183">
            <v>79178.94</v>
          </cell>
        </row>
        <row r="184">
          <cell r="B184">
            <v>5253719</v>
          </cell>
          <cell r="C184" t="str">
            <v>ZM INTERNATIONAL GTA220LS x 4L</v>
          </cell>
          <cell r="D184" t="str">
            <v>7920</v>
          </cell>
          <cell r="E184">
            <v>1</v>
          </cell>
          <cell r="F184">
            <v>94</v>
          </cell>
          <cell r="G184" t="str">
            <v>PC</v>
          </cell>
          <cell r="H184">
            <v>14900.1</v>
          </cell>
        </row>
        <row r="185">
          <cell r="B185">
            <v>5253720</v>
          </cell>
          <cell r="C185" t="str">
            <v>ZM INTERNATIONAL GTA713LS x 20L</v>
          </cell>
          <cell r="D185" t="str">
            <v>7920</v>
          </cell>
          <cell r="E185">
            <v>1</v>
          </cell>
          <cell r="F185">
            <v>77</v>
          </cell>
          <cell r="G185" t="str">
            <v>PC</v>
          </cell>
          <cell r="H185">
            <v>75323.33</v>
          </cell>
        </row>
        <row r="186">
          <cell r="B186">
            <v>5253761</v>
          </cell>
          <cell r="C186" t="str">
            <v>ZM INTERNATIONAL GTA713LS x 4L</v>
          </cell>
          <cell r="D186" t="str">
            <v>7920</v>
          </cell>
          <cell r="E186">
            <v>1</v>
          </cell>
          <cell r="F186">
            <v>197</v>
          </cell>
          <cell r="G186" t="str">
            <v>PC</v>
          </cell>
          <cell r="H186">
            <v>14835.56</v>
          </cell>
        </row>
        <row r="187">
          <cell r="B187">
            <v>5253764</v>
          </cell>
          <cell r="C187" t="str">
            <v>ZM INTERNATIONAL GTA007LS x 20L</v>
          </cell>
          <cell r="D187" t="str">
            <v>7920</v>
          </cell>
          <cell r="E187">
            <v>1</v>
          </cell>
          <cell r="F187">
            <v>159</v>
          </cell>
          <cell r="G187" t="str">
            <v>PC</v>
          </cell>
          <cell r="H187">
            <v>79798.009999999995</v>
          </cell>
        </row>
        <row r="188">
          <cell r="B188">
            <v>5253765</v>
          </cell>
          <cell r="C188" t="str">
            <v>ZM INTERNATIONAL GTA007LS x 4L</v>
          </cell>
          <cell r="D188" t="str">
            <v>7920</v>
          </cell>
          <cell r="E188">
            <v>1</v>
          </cell>
          <cell r="F188">
            <v>127</v>
          </cell>
          <cell r="G188" t="str">
            <v>PC</v>
          </cell>
          <cell r="H188">
            <v>16278.36</v>
          </cell>
        </row>
        <row r="189">
          <cell r="B189">
            <v>5261965</v>
          </cell>
          <cell r="C189" t="str">
            <v>ZM INTERGARD 2002 PART B x 0,72L</v>
          </cell>
          <cell r="D189" t="str">
            <v>Z001</v>
          </cell>
          <cell r="E189">
            <v>1</v>
          </cell>
          <cell r="F189">
            <v>139</v>
          </cell>
          <cell r="G189" t="str">
            <v>PC</v>
          </cell>
          <cell r="H189">
            <v>11378.99</v>
          </cell>
        </row>
        <row r="190">
          <cell r="B190">
            <v>5261966</v>
          </cell>
          <cell r="C190" t="str">
            <v>ZM INTERGARD 2002 CINZA N6.5 x 16L</v>
          </cell>
          <cell r="D190" t="str">
            <v>Z001</v>
          </cell>
          <cell r="E190">
            <v>1</v>
          </cell>
          <cell r="F190">
            <v>10</v>
          </cell>
          <cell r="G190" t="str">
            <v>PC</v>
          </cell>
          <cell r="H190">
            <v>170110.03</v>
          </cell>
        </row>
        <row r="191">
          <cell r="B191">
            <v>5261967</v>
          </cell>
          <cell r="C191" t="str">
            <v>ZM INTERGARD 2002 PART B x 4L</v>
          </cell>
          <cell r="D191" t="str">
            <v>Z001</v>
          </cell>
          <cell r="E191">
            <v>1</v>
          </cell>
          <cell r="F191">
            <v>117</v>
          </cell>
          <cell r="G191" t="str">
            <v>PC</v>
          </cell>
          <cell r="H191">
            <v>60826.41</v>
          </cell>
        </row>
        <row r="192">
          <cell r="B192">
            <v>5261968</v>
          </cell>
          <cell r="C192" t="str">
            <v>ZM INTERGARD 2002 CINZA N6.5 x 2,88L</v>
          </cell>
          <cell r="D192" t="str">
            <v>Z001</v>
          </cell>
          <cell r="E192">
            <v>1</v>
          </cell>
          <cell r="F192">
            <v>67</v>
          </cell>
          <cell r="G192" t="str">
            <v>PC</v>
          </cell>
          <cell r="H192">
            <v>20061.61</v>
          </cell>
        </row>
        <row r="193">
          <cell r="B193">
            <v>5268732</v>
          </cell>
          <cell r="C193" t="str">
            <v>ZM INTERSLEEK 1110SR RED 7,5L</v>
          </cell>
          <cell r="D193" t="str">
            <v>Z001</v>
          </cell>
          <cell r="E193">
            <v>1</v>
          </cell>
          <cell r="F193">
            <v>0</v>
          </cell>
          <cell r="G193" t="str">
            <v>PC</v>
          </cell>
          <cell r="H193">
            <v>62823.43</v>
          </cell>
        </row>
        <row r="194">
          <cell r="B194">
            <v>5268733</v>
          </cell>
          <cell r="C194" t="str">
            <v>INTERSLEEK 1100SR FXA993/2.5L/EU</v>
          </cell>
          <cell r="D194" t="str">
            <v>Z001</v>
          </cell>
          <cell r="E194">
            <v>1</v>
          </cell>
          <cell r="F194">
            <v>0</v>
          </cell>
          <cell r="G194" t="str">
            <v>PC</v>
          </cell>
          <cell r="H194">
            <v>39585.31</v>
          </cell>
        </row>
        <row r="195">
          <cell r="B195">
            <v>5268734</v>
          </cell>
          <cell r="C195" t="str">
            <v>INTERSLEEK 1100SR FXA994/1L/EU</v>
          </cell>
          <cell r="D195" t="str">
            <v>Z001</v>
          </cell>
          <cell r="E195">
            <v>1</v>
          </cell>
          <cell r="F195">
            <v>0</v>
          </cell>
          <cell r="G195" t="str">
            <v>PC</v>
          </cell>
          <cell r="H195">
            <v>269075.48</v>
          </cell>
        </row>
        <row r="196">
          <cell r="B196">
            <v>5268735</v>
          </cell>
          <cell r="C196" t="str">
            <v>INTERSLEEK 1100SR FXA992/10L/EU</v>
          </cell>
          <cell r="D196" t="str">
            <v>Z001</v>
          </cell>
          <cell r="E196">
            <v>1</v>
          </cell>
          <cell r="F196">
            <v>20</v>
          </cell>
          <cell r="G196" t="str">
            <v>PC</v>
          </cell>
          <cell r="H196">
            <v>165894.68</v>
          </cell>
        </row>
        <row r="197">
          <cell r="B197">
            <v>5269675</v>
          </cell>
          <cell r="C197" t="str">
            <v>ZM INTERSEAL 1509 Base Forte x 16,8L</v>
          </cell>
          <cell r="D197" t="str">
            <v>Z001</v>
          </cell>
          <cell r="E197">
            <v>1</v>
          </cell>
          <cell r="F197">
            <v>114</v>
          </cell>
          <cell r="G197" t="str">
            <v>PC</v>
          </cell>
          <cell r="H197">
            <v>91066.4</v>
          </cell>
        </row>
        <row r="198">
          <cell r="B198">
            <v>5269676</v>
          </cell>
          <cell r="C198" t="str">
            <v>ZM INTERSEAL 1509 Base Forte x 3,024L</v>
          </cell>
          <cell r="D198" t="str">
            <v>Z001</v>
          </cell>
          <cell r="E198">
            <v>1</v>
          </cell>
          <cell r="F198">
            <v>80</v>
          </cell>
          <cell r="G198" t="str">
            <v>PC</v>
          </cell>
          <cell r="H198">
            <v>18078.61</v>
          </cell>
        </row>
        <row r="199">
          <cell r="B199">
            <v>5279932</v>
          </cell>
          <cell r="C199" t="str">
            <v>ZM INTERSPEED 5100 RED 20L</v>
          </cell>
          <cell r="D199" t="str">
            <v>Z001</v>
          </cell>
          <cell r="E199">
            <v>1</v>
          </cell>
          <cell r="F199">
            <v>24</v>
          </cell>
          <cell r="G199" t="str">
            <v>PC</v>
          </cell>
          <cell r="H199">
            <v>243972.62</v>
          </cell>
        </row>
        <row r="200">
          <cell r="B200">
            <v>5281022</v>
          </cell>
          <cell r="C200" t="str">
            <v>ENVIROLINE 405HTR NVA463/20L/EU</v>
          </cell>
          <cell r="D200" t="str">
            <v>Z001</v>
          </cell>
          <cell r="E200">
            <v>1</v>
          </cell>
          <cell r="F200">
            <v>171</v>
          </cell>
          <cell r="G200" t="str">
            <v>PC</v>
          </cell>
          <cell r="H200">
            <v>265064.82</v>
          </cell>
        </row>
        <row r="201">
          <cell r="B201">
            <v>5295388</v>
          </cell>
          <cell r="C201" t="str">
            <v>ZM Interzinc 42 Comp B 3,6L</v>
          </cell>
          <cell r="D201" t="str">
            <v>Z001</v>
          </cell>
          <cell r="E201">
            <v>1</v>
          </cell>
          <cell r="F201">
            <v>42</v>
          </cell>
          <cell r="G201" t="str">
            <v>PC</v>
          </cell>
          <cell r="H201">
            <v>25939.62</v>
          </cell>
        </row>
        <row r="202">
          <cell r="B202">
            <v>5295389</v>
          </cell>
          <cell r="C202" t="str">
            <v>ZM INTERZINC 42 Cinza x 14,4L</v>
          </cell>
          <cell r="D202" t="str">
            <v>Z001</v>
          </cell>
          <cell r="E202">
            <v>1</v>
          </cell>
          <cell r="F202">
            <v>42</v>
          </cell>
          <cell r="G202" t="str">
            <v>PC</v>
          </cell>
          <cell r="H202">
            <v>222086.38</v>
          </cell>
        </row>
        <row r="203">
          <cell r="B203">
            <v>5312418</v>
          </cell>
          <cell r="C203" t="str">
            <v>ZM INTERTHERM 228HS CINZA 3,09L</v>
          </cell>
          <cell r="D203" t="str">
            <v>Z001</v>
          </cell>
          <cell r="E203">
            <v>1</v>
          </cell>
          <cell r="F203">
            <v>58</v>
          </cell>
          <cell r="G203" t="str">
            <v>PC</v>
          </cell>
          <cell r="H203">
            <v>7141.17</v>
          </cell>
        </row>
        <row r="204">
          <cell r="B204">
            <v>5312421</v>
          </cell>
          <cell r="C204" t="str">
            <v>ZM INTERZONE 485 CINZA 16L</v>
          </cell>
          <cell r="D204" t="str">
            <v>Z001</v>
          </cell>
          <cell r="E204">
            <v>1</v>
          </cell>
          <cell r="F204">
            <v>0</v>
          </cell>
          <cell r="G204" t="str">
            <v>PC</v>
          </cell>
          <cell r="H204">
            <v>5289.86</v>
          </cell>
        </row>
        <row r="205">
          <cell r="B205">
            <v>5313744</v>
          </cell>
          <cell r="C205" t="str">
            <v>ZM INTERTHERM 228HS PART B 0,51L</v>
          </cell>
          <cell r="D205" t="str">
            <v>Z001</v>
          </cell>
          <cell r="E205">
            <v>1</v>
          </cell>
          <cell r="F205">
            <v>28</v>
          </cell>
          <cell r="G205" t="str">
            <v>PC</v>
          </cell>
          <cell r="H205">
            <v>3746.02</v>
          </cell>
        </row>
        <row r="206">
          <cell r="B206">
            <v>5313747</v>
          </cell>
          <cell r="C206" t="str">
            <v>ZM  INTERGARD 2002 BASE FORTE 14,4L</v>
          </cell>
          <cell r="D206" t="str">
            <v>Z001</v>
          </cell>
          <cell r="E206">
            <v>1</v>
          </cell>
          <cell r="F206">
            <v>76</v>
          </cell>
          <cell r="G206" t="str">
            <v>PC</v>
          </cell>
          <cell r="H206">
            <v>145677.34</v>
          </cell>
        </row>
        <row r="207">
          <cell r="B207">
            <v>5319127</v>
          </cell>
          <cell r="C207" t="str">
            <v>INTERSLEEK 1100SR FXA999/10L/EU</v>
          </cell>
          <cell r="D207" t="str">
            <v>Z001</v>
          </cell>
          <cell r="E207">
            <v>1</v>
          </cell>
          <cell r="F207">
            <v>6</v>
          </cell>
          <cell r="G207" t="str">
            <v>PC</v>
          </cell>
          <cell r="H207">
            <v>2041.16</v>
          </cell>
        </row>
        <row r="208">
          <cell r="B208">
            <v>5322811</v>
          </cell>
          <cell r="C208" t="str">
            <v>ZM Interswif 6600  20L</v>
          </cell>
          <cell r="D208" t="str">
            <v>Z001</v>
          </cell>
          <cell r="E208">
            <v>1</v>
          </cell>
          <cell r="F208">
            <v>30</v>
          </cell>
          <cell r="G208" t="str">
            <v>PC</v>
          </cell>
          <cell r="H208">
            <v>331750.01</v>
          </cell>
        </row>
        <row r="209">
          <cell r="B209">
            <v>5322943</v>
          </cell>
          <cell r="C209" t="str">
            <v>ZM INTERTHERM 228 PART B 2,86 LT</v>
          </cell>
          <cell r="D209" t="str">
            <v>Z001</v>
          </cell>
          <cell r="E209">
            <v>1</v>
          </cell>
          <cell r="F209">
            <v>3</v>
          </cell>
          <cell r="G209" t="str">
            <v>PC</v>
          </cell>
          <cell r="H209">
            <v>19503.650000000001</v>
          </cell>
        </row>
        <row r="210">
          <cell r="B210">
            <v>5326490</v>
          </cell>
          <cell r="C210" t="str">
            <v>ZM INTERGARD 2004 COMP "B" x 0.90L</v>
          </cell>
          <cell r="D210" t="str">
            <v>Z001</v>
          </cell>
          <cell r="E210">
            <v>1</v>
          </cell>
          <cell r="F210">
            <v>133</v>
          </cell>
          <cell r="G210" t="str">
            <v>PC</v>
          </cell>
          <cell r="H210">
            <v>12609.73</v>
          </cell>
        </row>
        <row r="211">
          <cell r="B211">
            <v>5326492</v>
          </cell>
          <cell r="C211" t="str">
            <v>ZM INTERGARD 2004 INCOOL X 2.7L</v>
          </cell>
          <cell r="D211" t="str">
            <v>Z001</v>
          </cell>
          <cell r="E211">
            <v>1</v>
          </cell>
          <cell r="F211">
            <v>71</v>
          </cell>
          <cell r="G211" t="str">
            <v>PC</v>
          </cell>
          <cell r="H211">
            <v>48078.22</v>
          </cell>
        </row>
        <row r="212">
          <cell r="B212">
            <v>5351745</v>
          </cell>
          <cell r="C212" t="str">
            <v>ZM DEVPREP 88 Water Based Cleaner x 18,9</v>
          </cell>
          <cell r="D212" t="str">
            <v>Z001</v>
          </cell>
          <cell r="E212">
            <v>1</v>
          </cell>
          <cell r="F212">
            <v>4</v>
          </cell>
          <cell r="G212" t="str">
            <v>PC</v>
          </cell>
          <cell r="H212">
            <v>140223.99</v>
          </cell>
        </row>
        <row r="213">
          <cell r="B213">
            <v>5353607</v>
          </cell>
          <cell r="C213" t="str">
            <v>ZM IND PROD TINTABLE ANTIC PRIMER 16L</v>
          </cell>
          <cell r="D213" t="str">
            <v>7920</v>
          </cell>
          <cell r="E213">
            <v>1</v>
          </cell>
          <cell r="F213">
            <v>107</v>
          </cell>
          <cell r="G213" t="str">
            <v>PC</v>
          </cell>
          <cell r="H213">
            <v>72576.62</v>
          </cell>
        </row>
        <row r="214">
          <cell r="B214">
            <v>5353608</v>
          </cell>
          <cell r="C214" t="str">
            <v>ZM IND PROD ANTIC PRIMER WHITE 20L</v>
          </cell>
          <cell r="D214" t="str">
            <v>7920</v>
          </cell>
          <cell r="E214">
            <v>1</v>
          </cell>
          <cell r="F214">
            <v>625</v>
          </cell>
          <cell r="G214" t="str">
            <v>PC</v>
          </cell>
          <cell r="H214">
            <v>87246.02</v>
          </cell>
        </row>
        <row r="215">
          <cell r="B215">
            <v>5353609</v>
          </cell>
          <cell r="C215" t="str">
            <v>ZM ALBAMIX EPOXY PRIMER SAT GREY W/W 4L</v>
          </cell>
          <cell r="D215" t="str">
            <v>7920</v>
          </cell>
          <cell r="E215">
            <v>1</v>
          </cell>
          <cell r="F215">
            <v>222</v>
          </cell>
          <cell r="G215" t="str">
            <v>PC</v>
          </cell>
          <cell r="H215">
            <v>27661.95</v>
          </cell>
        </row>
        <row r="216">
          <cell r="B216">
            <v>5353610</v>
          </cell>
          <cell r="C216" t="str">
            <v>ZM ESM PU ACRILICO FULL WHITE 3.7L</v>
          </cell>
          <cell r="D216" t="str">
            <v>7920</v>
          </cell>
          <cell r="E216">
            <v>1</v>
          </cell>
          <cell r="F216">
            <v>1431</v>
          </cell>
          <cell r="G216" t="str">
            <v>PC</v>
          </cell>
          <cell r="H216">
            <v>20495.22</v>
          </cell>
        </row>
        <row r="217">
          <cell r="B217">
            <v>5353611</v>
          </cell>
          <cell r="C217" t="str">
            <v>ZM ALBAMIX ACRYL POLYURET BASE 3L</v>
          </cell>
          <cell r="D217" t="str">
            <v>7920</v>
          </cell>
          <cell r="E217">
            <v>1</v>
          </cell>
          <cell r="F217">
            <v>22</v>
          </cell>
          <cell r="G217" t="str">
            <v>PC</v>
          </cell>
          <cell r="H217">
            <v>14177.04</v>
          </cell>
        </row>
        <row r="218">
          <cell r="B218">
            <v>5353615</v>
          </cell>
          <cell r="C218" t="str">
            <v>ZM LACA SILICON SAT TPTE 3.2L</v>
          </cell>
          <cell r="D218" t="str">
            <v>7920</v>
          </cell>
          <cell r="E218">
            <v>1</v>
          </cell>
          <cell r="F218">
            <v>445</v>
          </cell>
          <cell r="G218" t="str">
            <v>PC</v>
          </cell>
          <cell r="H218">
            <v>17399.080000000002</v>
          </cell>
        </row>
        <row r="219">
          <cell r="B219">
            <v>5353671</v>
          </cell>
          <cell r="C219" t="str">
            <v>ZM ALBAMIX RUBBER CHLOR ENAMEL BASE 3.2L</v>
          </cell>
          <cell r="D219" t="str">
            <v>7920</v>
          </cell>
          <cell r="E219">
            <v>1</v>
          </cell>
          <cell r="F219">
            <v>168</v>
          </cell>
          <cell r="G219" t="str">
            <v>PC</v>
          </cell>
          <cell r="H219">
            <v>22538.21</v>
          </cell>
        </row>
        <row r="220">
          <cell r="B220">
            <v>5355654</v>
          </cell>
          <cell r="C220" t="str">
            <v>ZM ALBAMIX RUBBER CHLOR ENAMEL BASE 16L</v>
          </cell>
          <cell r="D220" t="str">
            <v>7920</v>
          </cell>
          <cell r="E220">
            <v>1</v>
          </cell>
          <cell r="F220">
            <v>63</v>
          </cell>
          <cell r="G220" t="str">
            <v>PC</v>
          </cell>
          <cell r="H220">
            <v>104416.72</v>
          </cell>
        </row>
        <row r="221">
          <cell r="B221">
            <v>5355655</v>
          </cell>
          <cell r="C221" t="str">
            <v>ZM ALBAMIX ANTIC POLYURET PRIMER GREY20L</v>
          </cell>
          <cell r="D221" t="str">
            <v>7920</v>
          </cell>
          <cell r="E221">
            <v>1</v>
          </cell>
          <cell r="F221">
            <v>258</v>
          </cell>
          <cell r="G221" t="str">
            <v>PC</v>
          </cell>
          <cell r="H221">
            <v>120561.21</v>
          </cell>
        </row>
        <row r="222">
          <cell r="B222">
            <v>5355679</v>
          </cell>
          <cell r="C222" t="str">
            <v>ZM ALBAMIX ACRYL DTM GLOSS ENAMEL 3L</v>
          </cell>
          <cell r="D222" t="str">
            <v>7920</v>
          </cell>
          <cell r="E222">
            <v>1</v>
          </cell>
          <cell r="F222">
            <v>458</v>
          </cell>
          <cell r="G222" t="str">
            <v>PC</v>
          </cell>
          <cell r="H222">
            <v>11188.8</v>
          </cell>
        </row>
        <row r="223">
          <cell r="B223">
            <v>5356155</v>
          </cell>
          <cell r="C223" t="str">
            <v>ZM ALBAMIX ACRYL POLYURET BASE 15L</v>
          </cell>
          <cell r="D223" t="str">
            <v>7920</v>
          </cell>
          <cell r="E223">
            <v>1</v>
          </cell>
          <cell r="F223">
            <v>0</v>
          </cell>
          <cell r="G223" t="str">
            <v>PC</v>
          </cell>
          <cell r="H223">
            <v>73533.850000000006</v>
          </cell>
        </row>
        <row r="224">
          <cell r="B224">
            <v>5356219</v>
          </cell>
          <cell r="C224" t="str">
            <v>ZM ALBAMIX EPXY PRIMER SAT WTE W/W 20L G</v>
          </cell>
          <cell r="D224" t="str">
            <v>7920</v>
          </cell>
          <cell r="E224">
            <v>1</v>
          </cell>
          <cell r="F224">
            <v>77</v>
          </cell>
          <cell r="G224" t="str">
            <v>PC</v>
          </cell>
          <cell r="H224">
            <v>137665.97</v>
          </cell>
        </row>
        <row r="225">
          <cell r="B225">
            <v>5356262</v>
          </cell>
          <cell r="C225" t="str">
            <v>ZM ALBAMIX EX FDRY SY ENAM G BASE 3.2L G</v>
          </cell>
          <cell r="D225" t="str">
            <v>7920</v>
          </cell>
          <cell r="E225">
            <v>1</v>
          </cell>
          <cell r="F225">
            <v>0</v>
          </cell>
          <cell r="G225" t="str">
            <v>PC</v>
          </cell>
          <cell r="H225">
            <v>6705.98</v>
          </cell>
        </row>
        <row r="226">
          <cell r="B226">
            <v>5356265</v>
          </cell>
          <cell r="C226" t="str">
            <v>ZM ALBAMIX EPOXY PRIMER SAT GREY W/W 20L</v>
          </cell>
          <cell r="D226" t="str">
            <v>7920</v>
          </cell>
          <cell r="E226">
            <v>1</v>
          </cell>
          <cell r="F226">
            <v>191</v>
          </cell>
          <cell r="G226" t="str">
            <v>PC</v>
          </cell>
          <cell r="H226">
            <v>149078.54</v>
          </cell>
        </row>
        <row r="227">
          <cell r="B227">
            <v>5358831</v>
          </cell>
          <cell r="C227" t="str">
            <v>ZM ALBAMIX ACRYL SIL LACQ BASE 3,2 L G</v>
          </cell>
          <cell r="D227" t="str">
            <v>7920</v>
          </cell>
          <cell r="E227">
            <v>1</v>
          </cell>
          <cell r="F227">
            <v>553</v>
          </cell>
          <cell r="G227" t="str">
            <v>PC</v>
          </cell>
          <cell r="H227">
            <v>17907.900000000001</v>
          </cell>
        </row>
        <row r="228">
          <cell r="B228">
            <v>5358832</v>
          </cell>
          <cell r="C228" t="str">
            <v>ZM ALBAMIX ACR POLYU DUOMIX YLW 18.5L G</v>
          </cell>
          <cell r="D228" t="str">
            <v>7920</v>
          </cell>
          <cell r="E228">
            <v>1</v>
          </cell>
          <cell r="F228">
            <v>86</v>
          </cell>
          <cell r="G228" t="str">
            <v>PC</v>
          </cell>
          <cell r="H228">
            <v>111015.3</v>
          </cell>
        </row>
        <row r="229">
          <cell r="B229">
            <v>5358833</v>
          </cell>
          <cell r="C229" t="str">
            <v>ZM ALBAMIX ULFDRY SYNT ENAMEL G BASE 16L</v>
          </cell>
          <cell r="D229" t="str">
            <v>7920</v>
          </cell>
          <cell r="E229">
            <v>1</v>
          </cell>
          <cell r="F229">
            <v>1</v>
          </cell>
          <cell r="G229" t="str">
            <v>PC</v>
          </cell>
          <cell r="H229">
            <v>58150.77</v>
          </cell>
        </row>
        <row r="230">
          <cell r="B230">
            <v>5358847</v>
          </cell>
          <cell r="C230" t="str">
            <v>ZM ESM PU ACRILICO FULL WHITE 18,5L G</v>
          </cell>
          <cell r="D230" t="str">
            <v>7920</v>
          </cell>
          <cell r="E230">
            <v>1</v>
          </cell>
          <cell r="F230">
            <v>138</v>
          </cell>
          <cell r="G230" t="str">
            <v>PC</v>
          </cell>
          <cell r="H230">
            <v>107908.98</v>
          </cell>
        </row>
        <row r="231">
          <cell r="B231">
            <v>5359361</v>
          </cell>
          <cell r="C231" t="str">
            <v>ZM ALBAMIX ACRYL DTM GLOSS ENAMEL 15L</v>
          </cell>
          <cell r="D231" t="str">
            <v>7920</v>
          </cell>
          <cell r="E231">
            <v>1</v>
          </cell>
          <cell r="F231">
            <v>169</v>
          </cell>
          <cell r="G231" t="str">
            <v>PC</v>
          </cell>
          <cell r="H231">
            <v>59047.67</v>
          </cell>
        </row>
        <row r="232">
          <cell r="B232">
            <v>5359362</v>
          </cell>
          <cell r="C232" t="str">
            <v>ZM ALBAMIX ACRYL ENAMEL 4 BASE 18,5L G</v>
          </cell>
          <cell r="D232" t="str">
            <v>7920</v>
          </cell>
          <cell r="E232">
            <v>1</v>
          </cell>
          <cell r="F232">
            <v>68</v>
          </cell>
          <cell r="G232" t="str">
            <v>PC</v>
          </cell>
          <cell r="H232">
            <v>86828.26</v>
          </cell>
        </row>
        <row r="233">
          <cell r="B233">
            <v>5359369</v>
          </cell>
          <cell r="C233" t="str">
            <v>ZM FDO PU ESPECIAL BEIGE 20L</v>
          </cell>
          <cell r="D233" t="str">
            <v>7920</v>
          </cell>
          <cell r="E233">
            <v>1</v>
          </cell>
          <cell r="F233">
            <v>31</v>
          </cell>
          <cell r="G233" t="str">
            <v>PC</v>
          </cell>
          <cell r="H233">
            <v>139976.23000000001</v>
          </cell>
        </row>
        <row r="234">
          <cell r="B234">
            <v>5361461</v>
          </cell>
          <cell r="C234" t="str">
            <v>ZM ALBAMIX ANTIC PRIMER YOW BASE 18.5L G</v>
          </cell>
          <cell r="D234" t="str">
            <v>7920</v>
          </cell>
          <cell r="E234">
            <v>1</v>
          </cell>
          <cell r="F234">
            <v>168</v>
          </cell>
          <cell r="G234" t="str">
            <v>PC</v>
          </cell>
          <cell r="H234">
            <v>90760.25</v>
          </cell>
        </row>
        <row r="235">
          <cell r="B235">
            <v>5362411</v>
          </cell>
          <cell r="C235" t="str">
            <v>ZM ALBAMIX EP. PRIMER 85007 PART B 4L G</v>
          </cell>
          <cell r="D235" t="str">
            <v>7920</v>
          </cell>
          <cell r="E235">
            <v>1</v>
          </cell>
          <cell r="F235">
            <v>176</v>
          </cell>
          <cell r="G235" t="str">
            <v>PC</v>
          </cell>
          <cell r="H235">
            <v>29726.799999999999</v>
          </cell>
        </row>
        <row r="236">
          <cell r="B236">
            <v>5388324</v>
          </cell>
          <cell r="C236" t="str">
            <v>ENVIROLINE 2405 NVA241/5GL/UH</v>
          </cell>
          <cell r="D236" t="str">
            <v>Z001</v>
          </cell>
          <cell r="E236">
            <v>1</v>
          </cell>
          <cell r="F236">
            <v>164</v>
          </cell>
          <cell r="G236" t="str">
            <v>PC</v>
          </cell>
          <cell r="H236">
            <v>137692.26999999999</v>
          </cell>
        </row>
        <row r="237">
          <cell r="B237">
            <v>5503509</v>
          </cell>
          <cell r="C237" t="str">
            <v>ENVIROLINE 405HTR NVA465/10L/EU</v>
          </cell>
          <cell r="D237" t="str">
            <v>Z001</v>
          </cell>
          <cell r="E237">
            <v>1</v>
          </cell>
          <cell r="F237">
            <v>100</v>
          </cell>
          <cell r="G237" t="str">
            <v>PC</v>
          </cell>
          <cell r="H237">
            <v>109251.19</v>
          </cell>
        </row>
        <row r="238">
          <cell r="B238">
            <v>5554830</v>
          </cell>
          <cell r="C238" t="str">
            <v>ZM Interline 925 White Part B x 5L</v>
          </cell>
          <cell r="D238" t="str">
            <v>Z001</v>
          </cell>
          <cell r="E238">
            <v>1</v>
          </cell>
          <cell r="F238">
            <v>48</v>
          </cell>
          <cell r="G238" t="str">
            <v>PC</v>
          </cell>
          <cell r="H238">
            <v>125035.14</v>
          </cell>
        </row>
        <row r="239">
          <cell r="B239">
            <v>5555111</v>
          </cell>
          <cell r="C239" t="str">
            <v>ZM Interline 925 Part A  x 15L</v>
          </cell>
          <cell r="D239" t="str">
            <v>Z001</v>
          </cell>
          <cell r="E239">
            <v>1</v>
          </cell>
          <cell r="F239">
            <v>45</v>
          </cell>
          <cell r="G239" t="str">
            <v>PC</v>
          </cell>
          <cell r="H239">
            <v>158529.41</v>
          </cell>
        </row>
        <row r="240">
          <cell r="B240">
            <v>5563366</v>
          </cell>
          <cell r="C240" t="str">
            <v>ENVIROLINE 2405 NVA244/2GL/UH</v>
          </cell>
          <cell r="D240" t="str">
            <v>Z001</v>
          </cell>
          <cell r="E240">
            <v>1</v>
          </cell>
          <cell r="F240">
            <v>169</v>
          </cell>
          <cell r="G240" t="str">
            <v>PC</v>
          </cell>
          <cell r="H240">
            <v>124638.32</v>
          </cell>
        </row>
        <row r="241">
          <cell r="B241">
            <v>5567196</v>
          </cell>
          <cell r="C241" t="str">
            <v>ZM INTERZINC 22 2,28 Ltrs</v>
          </cell>
          <cell r="D241" t="str">
            <v>Z001</v>
          </cell>
          <cell r="E241">
            <v>1</v>
          </cell>
          <cell r="F241">
            <v>1226</v>
          </cell>
          <cell r="G241" t="str">
            <v>PC</v>
          </cell>
          <cell r="H241">
            <v>17052.64</v>
          </cell>
        </row>
        <row r="242">
          <cell r="B242">
            <v>5567915</v>
          </cell>
          <cell r="C242" t="str">
            <v>ZM INTERZINC 22 PART B 0,72Ltrs</v>
          </cell>
          <cell r="D242" t="str">
            <v>Z001</v>
          </cell>
          <cell r="E242">
            <v>1</v>
          </cell>
          <cell r="F242">
            <v>1321</v>
          </cell>
          <cell r="G242" t="str">
            <v>PC</v>
          </cell>
          <cell r="H242">
            <v>36424.239999999998</v>
          </cell>
        </row>
        <row r="243">
          <cell r="B243">
            <v>5570157</v>
          </cell>
          <cell r="C243" t="str">
            <v>ZM Interfill 830Off White Std ParteB 2,5</v>
          </cell>
          <cell r="D243" t="str">
            <v>Z001</v>
          </cell>
          <cell r="E243">
            <v>1</v>
          </cell>
          <cell r="F243">
            <v>0</v>
          </cell>
          <cell r="G243" t="str">
            <v>PC</v>
          </cell>
          <cell r="H243">
            <v>51573.21</v>
          </cell>
        </row>
        <row r="244">
          <cell r="B244">
            <v>5579226</v>
          </cell>
          <cell r="C244" t="str">
            <v>FONDO ACABADO PAVIR GRIS 20L</v>
          </cell>
          <cell r="D244" t="str">
            <v>7920</v>
          </cell>
          <cell r="E244">
            <v>1</v>
          </cell>
          <cell r="F244">
            <v>168</v>
          </cell>
          <cell r="G244" t="str">
            <v>PC</v>
          </cell>
          <cell r="H244">
            <v>87229.88</v>
          </cell>
        </row>
        <row r="245">
          <cell r="B245">
            <v>5584487</v>
          </cell>
          <cell r="C245" t="str">
            <v>INTERGARD 345 BLANCO RAL9010 16L</v>
          </cell>
          <cell r="D245" t="str">
            <v>Z001</v>
          </cell>
          <cell r="E245">
            <v>1</v>
          </cell>
          <cell r="F245">
            <v>67</v>
          </cell>
          <cell r="G245" t="str">
            <v>PC</v>
          </cell>
          <cell r="H245">
            <v>123969.89</v>
          </cell>
        </row>
        <row r="246">
          <cell r="B246">
            <v>5584488</v>
          </cell>
          <cell r="C246" t="str">
            <v>INTERTHANE 870 CINZA RAL 7035 3,15L</v>
          </cell>
          <cell r="D246" t="str">
            <v>Z001</v>
          </cell>
          <cell r="E246">
            <v>1</v>
          </cell>
          <cell r="F246">
            <v>43</v>
          </cell>
          <cell r="G246" t="str">
            <v>PC</v>
          </cell>
          <cell r="H246">
            <v>12312.91</v>
          </cell>
        </row>
        <row r="247">
          <cell r="B247">
            <v>5584708</v>
          </cell>
          <cell r="C247" t="str">
            <v>ZM INTERTHANE 870 Part B 0,45 Ltrs</v>
          </cell>
          <cell r="D247" t="str">
            <v>Z001</v>
          </cell>
          <cell r="E247">
            <v>1</v>
          </cell>
          <cell r="F247">
            <v>106</v>
          </cell>
          <cell r="G247" t="str">
            <v>PC</v>
          </cell>
          <cell r="H247">
            <v>6848.76</v>
          </cell>
        </row>
        <row r="248">
          <cell r="B248">
            <v>5601048</v>
          </cell>
          <cell r="C248" t="str">
            <v>INTERTHANE 870 BASE FORTE 2.90L</v>
          </cell>
          <cell r="D248" t="str">
            <v>Z001</v>
          </cell>
          <cell r="E248">
            <v>1</v>
          </cell>
          <cell r="F248">
            <v>68</v>
          </cell>
          <cell r="G248" t="str">
            <v>PC</v>
          </cell>
          <cell r="H248">
            <v>20834.14</v>
          </cell>
        </row>
        <row r="249">
          <cell r="B249">
            <v>5606360</v>
          </cell>
          <cell r="C249" t="str">
            <v>INTERSLEEK 1100SR FXA993/1GL/UH</v>
          </cell>
          <cell r="D249" t="str">
            <v>7920</v>
          </cell>
          <cell r="E249">
            <v>1</v>
          </cell>
          <cell r="F249">
            <v>0</v>
          </cell>
          <cell r="G249" t="str">
            <v>PC</v>
          </cell>
          <cell r="H249">
            <v>0</v>
          </cell>
        </row>
        <row r="250">
          <cell r="B250">
            <v>5606451</v>
          </cell>
          <cell r="C250" t="str">
            <v>CHARTEK 2218 HCA022/20KG/UH</v>
          </cell>
          <cell r="D250" t="str">
            <v>Z001</v>
          </cell>
          <cell r="E250">
            <v>1</v>
          </cell>
          <cell r="F250">
            <v>823</v>
          </cell>
          <cell r="G250" t="str">
            <v>PC</v>
          </cell>
          <cell r="H250">
            <v>285145.96999999997</v>
          </cell>
        </row>
        <row r="251">
          <cell r="B251">
            <v>5606456</v>
          </cell>
          <cell r="C251" t="str">
            <v>CHARTEK 2218 HCA026/20KG/UH</v>
          </cell>
          <cell r="D251" t="str">
            <v>Z001</v>
          </cell>
          <cell r="E251">
            <v>1</v>
          </cell>
          <cell r="F251">
            <v>777</v>
          </cell>
          <cell r="G251" t="str">
            <v>PC</v>
          </cell>
          <cell r="H251">
            <v>397692.44</v>
          </cell>
        </row>
        <row r="252">
          <cell r="B252">
            <v>5606549</v>
          </cell>
          <cell r="C252" t="str">
            <v>INTERBOND 1202UPC HTA160/5GL/UH</v>
          </cell>
          <cell r="D252" t="str">
            <v>Z001</v>
          </cell>
          <cell r="E252">
            <v>1</v>
          </cell>
          <cell r="F252">
            <v>0</v>
          </cell>
          <cell r="G252" t="str">
            <v>PC</v>
          </cell>
          <cell r="H252">
            <v>385189.2</v>
          </cell>
        </row>
        <row r="253">
          <cell r="B253">
            <v>5606553</v>
          </cell>
          <cell r="C253" t="str">
            <v>INTERBOND 1202UPC HTA166/1QT/UH</v>
          </cell>
          <cell r="D253" t="str">
            <v>Z001</v>
          </cell>
          <cell r="E253">
            <v>1</v>
          </cell>
          <cell r="F253">
            <v>0</v>
          </cell>
          <cell r="G253" t="str">
            <v>PC</v>
          </cell>
          <cell r="H253">
            <v>18185.099999999999</v>
          </cell>
        </row>
        <row r="254">
          <cell r="B254">
            <v>5622092</v>
          </cell>
          <cell r="C254" t="str">
            <v>ZM INTERTHANE 3230 PARTE B 0,51 L</v>
          </cell>
          <cell r="D254" t="str">
            <v>Z001</v>
          </cell>
          <cell r="E254">
            <v>1</v>
          </cell>
          <cell r="F254">
            <v>1108</v>
          </cell>
          <cell r="G254" t="str">
            <v>PC</v>
          </cell>
          <cell r="H254">
            <v>6558.62</v>
          </cell>
        </row>
        <row r="255">
          <cell r="B255">
            <v>5622093</v>
          </cell>
          <cell r="C255" t="str">
            <v>ZM INTERTHANE 3230 PARTE B 2,86 L</v>
          </cell>
          <cell r="D255" t="str">
            <v>Z001</v>
          </cell>
          <cell r="E255">
            <v>1</v>
          </cell>
          <cell r="F255">
            <v>297</v>
          </cell>
          <cell r="G255" t="str">
            <v>PC</v>
          </cell>
          <cell r="H255">
            <v>27820.36</v>
          </cell>
        </row>
        <row r="256">
          <cell r="B256">
            <v>5685144</v>
          </cell>
          <cell r="C256" t="str">
            <v>ZM INTERBOND 1202UPC HTA160/20L/EU</v>
          </cell>
          <cell r="D256" t="str">
            <v>Z001</v>
          </cell>
          <cell r="E256">
            <v>1</v>
          </cell>
          <cell r="F256">
            <v>0</v>
          </cell>
          <cell r="G256" t="str">
            <v>PC</v>
          </cell>
          <cell r="H256">
            <v>309584.84000000003</v>
          </cell>
        </row>
        <row r="257">
          <cell r="B257">
            <v>5685145</v>
          </cell>
          <cell r="C257" t="str">
            <v>ZM INTERBOND 1202UPC HTA166/1L/EU</v>
          </cell>
          <cell r="D257" t="str">
            <v>Z001</v>
          </cell>
          <cell r="E257">
            <v>1</v>
          </cell>
          <cell r="F257">
            <v>0</v>
          </cell>
          <cell r="G257" t="str">
            <v>PC</v>
          </cell>
          <cell r="H257">
            <v>16137.36</v>
          </cell>
        </row>
        <row r="258">
          <cell r="B258">
            <v>5688223</v>
          </cell>
          <cell r="C258" t="str">
            <v>ZM INTERTHANE 3230SG BASE PASTEL 3,02 L</v>
          </cell>
          <cell r="D258" t="str">
            <v>Z001</v>
          </cell>
          <cell r="E258">
            <v>1</v>
          </cell>
          <cell r="F258">
            <v>188</v>
          </cell>
          <cell r="G258" t="str">
            <v>PC</v>
          </cell>
          <cell r="H258">
            <v>14289.84</v>
          </cell>
        </row>
        <row r="259">
          <cell r="B259">
            <v>5688224</v>
          </cell>
          <cell r="C259" t="str">
            <v>ZM INTERTHANE 3230SG BRANCO N-9,5 17,14L</v>
          </cell>
          <cell r="D259" t="str">
            <v>Z001</v>
          </cell>
          <cell r="E259">
            <v>1</v>
          </cell>
          <cell r="F259">
            <v>0</v>
          </cell>
          <cell r="G259" t="str">
            <v>PC</v>
          </cell>
          <cell r="H259">
            <v>167504.28</v>
          </cell>
        </row>
        <row r="260">
          <cell r="B260">
            <v>5688225</v>
          </cell>
          <cell r="C260" t="str">
            <v>ZM INTERTHANE 3230SG BASE AMARELA 2,72L</v>
          </cell>
          <cell r="D260" t="str">
            <v>Z001</v>
          </cell>
          <cell r="E260">
            <v>1</v>
          </cell>
          <cell r="F260">
            <v>98</v>
          </cell>
          <cell r="G260" t="str">
            <v>PC</v>
          </cell>
          <cell r="H260">
            <v>11624.64</v>
          </cell>
        </row>
        <row r="261">
          <cell r="B261">
            <v>5694709</v>
          </cell>
          <cell r="C261" t="str">
            <v>ZMINTERTHANE 3230HG BASE ULTRAFORTE 2,72</v>
          </cell>
          <cell r="D261" t="str">
            <v>Z001</v>
          </cell>
          <cell r="E261">
            <v>1</v>
          </cell>
          <cell r="F261">
            <v>223</v>
          </cell>
          <cell r="G261" t="str">
            <v>PC</v>
          </cell>
          <cell r="H261">
            <v>26750.99</v>
          </cell>
        </row>
        <row r="262">
          <cell r="B262">
            <v>5694710</v>
          </cell>
          <cell r="C262" t="str">
            <v>ZM INTERTHANE 3230HG BASE PASTEL 3,02L</v>
          </cell>
          <cell r="D262" t="str">
            <v>Z001</v>
          </cell>
          <cell r="E262">
            <v>1</v>
          </cell>
          <cell r="F262">
            <v>442</v>
          </cell>
          <cell r="G262" t="str">
            <v>PC</v>
          </cell>
          <cell r="H262">
            <v>24825.599999999999</v>
          </cell>
        </row>
        <row r="263">
          <cell r="B263">
            <v>5727839</v>
          </cell>
          <cell r="C263" t="str">
            <v>ZM Imprimación PU Especial 20 L</v>
          </cell>
          <cell r="D263" t="str">
            <v>Z010</v>
          </cell>
          <cell r="E263">
            <v>1</v>
          </cell>
          <cell r="F263">
            <v>56</v>
          </cell>
          <cell r="G263" t="str">
            <v>PC</v>
          </cell>
          <cell r="H263">
            <v>114452.65</v>
          </cell>
        </row>
        <row r="264">
          <cell r="B264">
            <v>5727840</v>
          </cell>
          <cell r="C264" t="str">
            <v>ZM Esmalte PU Especial – Base TPTE 3,52L</v>
          </cell>
          <cell r="D264" t="str">
            <v>Z010</v>
          </cell>
          <cell r="E264">
            <v>1</v>
          </cell>
          <cell r="F264">
            <v>492</v>
          </cell>
          <cell r="G264" t="str">
            <v>PC</v>
          </cell>
          <cell r="H264">
            <v>20633.86</v>
          </cell>
        </row>
        <row r="265">
          <cell r="B265">
            <v>5727841</v>
          </cell>
          <cell r="C265" t="str">
            <v>ZM Imprimación PU Especial 160 L</v>
          </cell>
          <cell r="D265" t="str">
            <v>Z010</v>
          </cell>
          <cell r="E265">
            <v>1</v>
          </cell>
          <cell r="F265">
            <v>0</v>
          </cell>
          <cell r="G265" t="str">
            <v>PC</v>
          </cell>
          <cell r="H265">
            <v>0</v>
          </cell>
        </row>
        <row r="266">
          <cell r="B266">
            <v>5727842</v>
          </cell>
          <cell r="C266" t="str">
            <v>ZM Esmalte PU Especial Full White 18,5L</v>
          </cell>
          <cell r="D266" t="str">
            <v>Z010</v>
          </cell>
          <cell r="E266">
            <v>1</v>
          </cell>
          <cell r="F266">
            <v>81</v>
          </cell>
          <cell r="G266" t="str">
            <v>PC</v>
          </cell>
          <cell r="H266">
            <v>123628.51</v>
          </cell>
        </row>
        <row r="267">
          <cell r="B267">
            <v>5727843</v>
          </cell>
          <cell r="C267" t="str">
            <v>ZM FONDO POLIURETANICO TV 20L</v>
          </cell>
          <cell r="D267" t="str">
            <v>Z010</v>
          </cell>
          <cell r="E267">
            <v>1</v>
          </cell>
          <cell r="F267">
            <v>68</v>
          </cell>
          <cell r="G267" t="str">
            <v>PC</v>
          </cell>
          <cell r="H267">
            <v>158390.84</v>
          </cell>
        </row>
        <row r="268">
          <cell r="B268">
            <v>5727844</v>
          </cell>
          <cell r="C268" t="str">
            <v>ZM Esmalte PU Especial – Base TPTE 17,6L</v>
          </cell>
          <cell r="D268" t="str">
            <v>Z010</v>
          </cell>
          <cell r="E268">
            <v>1</v>
          </cell>
          <cell r="F268">
            <v>126</v>
          </cell>
          <cell r="G268" t="str">
            <v>PC</v>
          </cell>
          <cell r="H268">
            <v>94706.54</v>
          </cell>
        </row>
        <row r="269">
          <cell r="B269">
            <v>5727847</v>
          </cell>
          <cell r="C269" t="str">
            <v>ZM Fondo Poliuretánico TV 160L</v>
          </cell>
          <cell r="D269" t="str">
            <v>Z010</v>
          </cell>
          <cell r="E269">
            <v>1</v>
          </cell>
          <cell r="F269">
            <v>0</v>
          </cell>
          <cell r="G269" t="str">
            <v>PC</v>
          </cell>
          <cell r="H269">
            <v>0</v>
          </cell>
        </row>
        <row r="270">
          <cell r="B270">
            <v>5727938</v>
          </cell>
          <cell r="C270" t="str">
            <v>ZM ESMALTE POLIURETANO TV BASE TPTE 3,52</v>
          </cell>
          <cell r="D270" t="str">
            <v>7920</v>
          </cell>
          <cell r="E270">
            <v>1</v>
          </cell>
          <cell r="F270">
            <v>144</v>
          </cell>
          <cell r="G270" t="str">
            <v>PC</v>
          </cell>
          <cell r="H270">
            <v>25163.25</v>
          </cell>
        </row>
        <row r="271">
          <cell r="B271">
            <v>5727939</v>
          </cell>
          <cell r="C271" t="str">
            <v>Esmalte Poliuretano TV Base TPTE 17,6L</v>
          </cell>
          <cell r="D271" t="str">
            <v>Z010</v>
          </cell>
          <cell r="E271">
            <v>1</v>
          </cell>
          <cell r="F271">
            <v>64</v>
          </cell>
          <cell r="G271" t="str">
            <v>PC</v>
          </cell>
          <cell r="H271">
            <v>115266.9</v>
          </cell>
        </row>
        <row r="272">
          <cell r="B272">
            <v>5727940</v>
          </cell>
          <cell r="C272" t="str">
            <v>ZM Esmalte PoliuretanoTVFull White 18,5L</v>
          </cell>
          <cell r="D272" t="str">
            <v>Z010</v>
          </cell>
          <cell r="E272">
            <v>1</v>
          </cell>
          <cell r="F272">
            <v>67</v>
          </cell>
          <cell r="G272" t="str">
            <v>PC</v>
          </cell>
          <cell r="H272">
            <v>162785.22</v>
          </cell>
        </row>
        <row r="273">
          <cell r="B273">
            <v>5727941</v>
          </cell>
          <cell r="C273" t="str">
            <v>ZM Esmalte Poliuretano TVFull White 3,7L</v>
          </cell>
          <cell r="D273" t="str">
            <v>7920</v>
          </cell>
          <cell r="E273">
            <v>1</v>
          </cell>
          <cell r="F273">
            <v>258</v>
          </cell>
          <cell r="G273" t="str">
            <v>PC</v>
          </cell>
          <cell r="H273">
            <v>32283.18</v>
          </cell>
        </row>
        <row r="274">
          <cell r="B274">
            <v>5733626</v>
          </cell>
          <cell r="C274" t="str">
            <v>ZM Esmalte PU Especial Full White 3,7L</v>
          </cell>
          <cell r="D274" t="str">
            <v>Z010</v>
          </cell>
          <cell r="E274">
            <v>1</v>
          </cell>
          <cell r="F274">
            <v>309</v>
          </cell>
          <cell r="G274" t="str">
            <v>PC</v>
          </cell>
          <cell r="H274">
            <v>24942.07</v>
          </cell>
        </row>
        <row r="275">
          <cell r="B275">
            <v>5828372</v>
          </cell>
          <cell r="C275" t="str">
            <v>ZM INTERTHANE 990 RAL 2004 17,17L</v>
          </cell>
          <cell r="D275" t="str">
            <v>Z001</v>
          </cell>
          <cell r="E275">
            <v>1</v>
          </cell>
          <cell r="F275">
            <v>61</v>
          </cell>
          <cell r="G275" t="str">
            <v>PC</v>
          </cell>
          <cell r="H275">
            <v>211820.63</v>
          </cell>
        </row>
        <row r="276">
          <cell r="B276">
            <v>5846178</v>
          </cell>
          <cell r="C276" t="str">
            <v>ZM INTERSWIFT 6600 BRA ROJO 20L</v>
          </cell>
          <cell r="D276" t="str">
            <v>Z001</v>
          </cell>
          <cell r="E276">
            <v>1</v>
          </cell>
          <cell r="F276">
            <v>109</v>
          </cell>
          <cell r="G276" t="str">
            <v>PC</v>
          </cell>
          <cell r="H276">
            <v>357591.63</v>
          </cell>
        </row>
        <row r="277">
          <cell r="B277">
            <v>5846411</v>
          </cell>
          <cell r="C277" t="str">
            <v>ZM INTERSWIFT 6600 BRA MARRON 20L</v>
          </cell>
          <cell r="D277" t="str">
            <v>Z001</v>
          </cell>
          <cell r="E277">
            <v>1</v>
          </cell>
          <cell r="F277">
            <v>47</v>
          </cell>
          <cell r="G277" t="str">
            <v>PC</v>
          </cell>
          <cell r="H277">
            <v>448879.49</v>
          </cell>
        </row>
        <row r="278">
          <cell r="B278">
            <v>5879141</v>
          </cell>
          <cell r="C278" t="str">
            <v>ZM INTERNATIONAL REDUTOR GTA123 18L</v>
          </cell>
          <cell r="D278" t="str">
            <v>Z001</v>
          </cell>
          <cell r="E278">
            <v>1</v>
          </cell>
          <cell r="F278">
            <v>0</v>
          </cell>
          <cell r="G278" t="str">
            <v>PC</v>
          </cell>
          <cell r="H278">
            <v>131917.17000000001</v>
          </cell>
        </row>
        <row r="279">
          <cell r="B279">
            <v>5881839</v>
          </cell>
          <cell r="C279" t="str">
            <v>ZM INTERBOND 2340UPC COMPONENTE B 0,90L</v>
          </cell>
          <cell r="D279" t="str">
            <v>Z001</v>
          </cell>
          <cell r="E279">
            <v>1</v>
          </cell>
          <cell r="F279">
            <v>206</v>
          </cell>
          <cell r="G279" t="str">
            <v>PC</v>
          </cell>
          <cell r="H279">
            <v>5118.4399999999996</v>
          </cell>
        </row>
        <row r="280">
          <cell r="B280">
            <v>5881843</v>
          </cell>
          <cell r="C280" t="str">
            <v>ZM INTERBOND 2340UPC GRIS COMPA 2,70L</v>
          </cell>
          <cell r="D280" t="str">
            <v>Z001</v>
          </cell>
          <cell r="E280">
            <v>1</v>
          </cell>
          <cell r="F280">
            <v>178</v>
          </cell>
          <cell r="G280" t="str">
            <v>PC</v>
          </cell>
          <cell r="H280">
            <v>14313.54</v>
          </cell>
        </row>
        <row r="281">
          <cell r="B281">
            <v>5881845</v>
          </cell>
          <cell r="C281" t="str">
            <v>ZM INTERBOND 2340UPC GRIS OLIVA A 2,70L</v>
          </cell>
          <cell r="D281" t="str">
            <v>Z001</v>
          </cell>
          <cell r="E281">
            <v>1</v>
          </cell>
          <cell r="F281">
            <v>34</v>
          </cell>
          <cell r="G281" t="str">
            <v>PC</v>
          </cell>
          <cell r="H281">
            <v>15672.95</v>
          </cell>
        </row>
        <row r="282">
          <cell r="B282">
            <v>5887957</v>
          </cell>
          <cell r="C282" t="str">
            <v>ZM INTERGARD 251HS GREY PART B 5L</v>
          </cell>
          <cell r="D282" t="str">
            <v>Z001</v>
          </cell>
          <cell r="E282">
            <v>1</v>
          </cell>
          <cell r="F282">
            <v>38</v>
          </cell>
          <cell r="G282" t="str">
            <v>PC</v>
          </cell>
          <cell r="H282">
            <v>63005.58</v>
          </cell>
        </row>
        <row r="283">
          <cell r="B283">
            <v>5887968</v>
          </cell>
          <cell r="C283" t="str">
            <v>ZM INTERGARD 251HS GREY PART A 15L</v>
          </cell>
          <cell r="D283" t="str">
            <v>Z001</v>
          </cell>
          <cell r="E283">
            <v>1</v>
          </cell>
          <cell r="F283">
            <v>34</v>
          </cell>
          <cell r="G283" t="str">
            <v>PC</v>
          </cell>
          <cell r="H283">
            <v>120517.52</v>
          </cell>
        </row>
        <row r="284">
          <cell r="B284">
            <v>5887969</v>
          </cell>
          <cell r="C284" t="str">
            <v>ZM INTERGARD 251HS GREY PART B 0,90L</v>
          </cell>
          <cell r="D284" t="str">
            <v>Z001</v>
          </cell>
          <cell r="E284">
            <v>1</v>
          </cell>
          <cell r="F284">
            <v>98</v>
          </cell>
          <cell r="G284" t="str">
            <v>PC</v>
          </cell>
          <cell r="H284">
            <v>12133.4</v>
          </cell>
        </row>
        <row r="285">
          <cell r="B285">
            <v>5887970</v>
          </cell>
          <cell r="C285" t="str">
            <v>ZM INTERGARD 251HS GREY PART A 2,70L</v>
          </cell>
          <cell r="D285" t="str">
            <v>Z001</v>
          </cell>
          <cell r="E285">
            <v>1</v>
          </cell>
          <cell r="F285">
            <v>106</v>
          </cell>
          <cell r="G285" t="str">
            <v>PC</v>
          </cell>
          <cell r="H285">
            <v>21577.32</v>
          </cell>
        </row>
        <row r="286">
          <cell r="B286">
            <v>5901789</v>
          </cell>
          <cell r="C286" t="str">
            <v>ZM INTERTHANE 3230SG BASE ULTRA 2,715 L</v>
          </cell>
          <cell r="D286" t="str">
            <v>Z001</v>
          </cell>
          <cell r="E286">
            <v>1</v>
          </cell>
          <cell r="F286">
            <v>437</v>
          </cell>
          <cell r="G286" t="str">
            <v>PC</v>
          </cell>
          <cell r="H286">
            <v>18958.759999999998</v>
          </cell>
        </row>
        <row r="287">
          <cell r="B287">
            <v>5943373</v>
          </cell>
          <cell r="C287" t="str">
            <v>ZM Interseal 1509 Blanco N-9,5 3,6L</v>
          </cell>
          <cell r="D287" t="str">
            <v>Z001</v>
          </cell>
          <cell r="E287">
            <v>1</v>
          </cell>
          <cell r="F287">
            <v>16</v>
          </cell>
          <cell r="G287" t="str">
            <v>PC</v>
          </cell>
          <cell r="H287">
            <v>23431.56</v>
          </cell>
        </row>
        <row r="288">
          <cell r="B288">
            <v>5990049</v>
          </cell>
          <cell r="C288" t="str">
            <v>ZMINTERTHANE 3230HG BASE ULT.FORTE 15,08</v>
          </cell>
          <cell r="D288" t="str">
            <v>Z001</v>
          </cell>
          <cell r="E288">
            <v>1</v>
          </cell>
          <cell r="F288">
            <v>181</v>
          </cell>
          <cell r="G288" t="str">
            <v>PC</v>
          </cell>
          <cell r="H288">
            <v>135310.23000000001</v>
          </cell>
        </row>
        <row r="289">
          <cell r="B289">
            <v>5990051</v>
          </cell>
          <cell r="C289" t="str">
            <v>ZMINTERTHANE 3230SG BASE ULTR FORT 15,08</v>
          </cell>
          <cell r="D289" t="str">
            <v>Z001</v>
          </cell>
          <cell r="E289">
            <v>1</v>
          </cell>
          <cell r="F289">
            <v>24</v>
          </cell>
          <cell r="G289" t="str">
            <v>PC</v>
          </cell>
          <cell r="H289">
            <v>112234.63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1048262"/>
  <sheetViews>
    <sheetView showGridLines="0" tabSelected="1" workbookViewId="0">
      <pane ySplit="3" topLeftCell="A4" activePane="bottomLeft" state="frozen"/>
      <selection pane="bottomLeft" activeCell="D1" sqref="D1"/>
    </sheetView>
  </sheetViews>
  <sheetFormatPr baseColWidth="10" defaultColWidth="8.88671875" defaultRowHeight="14.4" x14ac:dyDescent="0.3"/>
  <cols>
    <col min="2" max="2" width="13" style="5" customWidth="1"/>
    <col min="3" max="3" width="17" style="5" customWidth="1"/>
    <col min="4" max="4" width="77.5546875" customWidth="1"/>
    <col min="5" max="5" width="25.88671875" style="5" customWidth="1"/>
    <col min="6" max="7" width="14" style="5" customWidth="1"/>
    <col min="8" max="8" width="25.33203125" style="5" customWidth="1"/>
    <col min="9" max="9" width="15.88671875" style="6" customWidth="1"/>
    <col min="10" max="10" width="15" style="6" customWidth="1"/>
    <col min="11" max="11" width="9" style="6" customWidth="1"/>
    <col min="12" max="12" width="17" style="5" customWidth="1"/>
    <col min="13" max="13" width="14" style="29" customWidth="1"/>
    <col min="14" max="14" width="16.44140625" style="29" customWidth="1"/>
    <col min="15" max="15" width="11.6640625" style="29" customWidth="1"/>
  </cols>
  <sheetData>
    <row r="1" spans="2:15" ht="40.200000000000003" customHeight="1" x14ac:dyDescent="0.3">
      <c r="J1" s="28"/>
      <c r="N1" s="29">
        <v>1500</v>
      </c>
    </row>
    <row r="3" spans="2:15" s="4" customFormat="1" ht="41.4" x14ac:dyDescent="0.3">
      <c r="B3" s="17" t="s">
        <v>0</v>
      </c>
      <c r="C3" s="34" t="s">
        <v>74</v>
      </c>
      <c r="D3" s="18" t="s">
        <v>1</v>
      </c>
      <c r="E3" s="18" t="s">
        <v>2</v>
      </c>
      <c r="F3" s="18" t="s">
        <v>3</v>
      </c>
      <c r="G3" s="18" t="s">
        <v>60</v>
      </c>
      <c r="H3" s="18" t="s">
        <v>61</v>
      </c>
      <c r="I3" s="18" t="s">
        <v>4</v>
      </c>
      <c r="J3" s="18" t="s">
        <v>5</v>
      </c>
      <c r="K3" s="16" t="s">
        <v>6</v>
      </c>
      <c r="L3" s="19" t="s">
        <v>7</v>
      </c>
      <c r="M3" s="30" t="s">
        <v>54</v>
      </c>
      <c r="N3" s="30" t="s">
        <v>55</v>
      </c>
      <c r="O3" s="30" t="s">
        <v>56</v>
      </c>
    </row>
    <row r="4" spans="2:15" x14ac:dyDescent="0.3">
      <c r="B4" s="23">
        <v>5313747</v>
      </c>
      <c r="C4" s="23" t="s">
        <v>75</v>
      </c>
      <c r="D4" s="3" t="s">
        <v>13</v>
      </c>
      <c r="E4" s="23" t="s">
        <v>67</v>
      </c>
      <c r="F4" s="23" t="s">
        <v>8</v>
      </c>
      <c r="G4" s="23" t="s">
        <v>57</v>
      </c>
      <c r="H4" s="23">
        <v>5261967</v>
      </c>
      <c r="I4" s="10">
        <v>14.4</v>
      </c>
      <c r="J4" s="11">
        <v>95.408900000000003</v>
      </c>
      <c r="K4" s="12" t="s">
        <v>10</v>
      </c>
      <c r="L4" s="20" t="s">
        <v>11</v>
      </c>
      <c r="M4" s="31">
        <f>+VLOOKUP(B4,[1]Hoja1!$B$2:$H$289,7,0)</f>
        <v>145677.34</v>
      </c>
      <c r="N4" s="32">
        <f t="shared" ref="N4:N11" si="0">+M4/$N$1</f>
        <v>97.118226666666658</v>
      </c>
      <c r="O4" s="32">
        <f t="shared" ref="O4:O11" si="1">+N4/I4</f>
        <v>6.7443212962962953</v>
      </c>
    </row>
    <row r="5" spans="2:15" x14ac:dyDescent="0.3">
      <c r="B5" s="24">
        <v>5261965</v>
      </c>
      <c r="C5" s="24" t="s">
        <v>76</v>
      </c>
      <c r="D5" s="2" t="s">
        <v>14</v>
      </c>
      <c r="E5" s="23" t="s">
        <v>67</v>
      </c>
      <c r="F5" s="24" t="s">
        <v>8</v>
      </c>
      <c r="G5" s="24" t="s">
        <v>58</v>
      </c>
      <c r="H5" s="27" t="s">
        <v>62</v>
      </c>
      <c r="I5" s="7">
        <v>0.72</v>
      </c>
      <c r="J5" s="8">
        <v>8.8321000000000005</v>
      </c>
      <c r="K5" s="9" t="s">
        <v>10</v>
      </c>
      <c r="L5" s="21" t="s">
        <v>11</v>
      </c>
      <c r="M5" s="31">
        <f>+VLOOKUP(B5,[1]Hoja1!$B$2:$H$289,7,0)</f>
        <v>11378.99</v>
      </c>
      <c r="N5" s="31">
        <f t="shared" si="0"/>
        <v>7.5859933333333336</v>
      </c>
      <c r="O5" s="31">
        <f t="shared" si="1"/>
        <v>10.536101851851853</v>
      </c>
    </row>
    <row r="6" spans="2:15" x14ac:dyDescent="0.3">
      <c r="B6" s="23">
        <v>5261967</v>
      </c>
      <c r="C6" s="23" t="s">
        <v>76</v>
      </c>
      <c r="D6" s="3" t="s">
        <v>14</v>
      </c>
      <c r="E6" s="23" t="s">
        <v>67</v>
      </c>
      <c r="F6" s="23" t="s">
        <v>8</v>
      </c>
      <c r="G6" s="23" t="s">
        <v>58</v>
      </c>
      <c r="H6" s="26" t="s">
        <v>62</v>
      </c>
      <c r="I6" s="10">
        <v>4</v>
      </c>
      <c r="J6" s="11">
        <v>42.953400000000002</v>
      </c>
      <c r="K6" s="12" t="s">
        <v>10</v>
      </c>
      <c r="L6" s="20" t="s">
        <v>11</v>
      </c>
      <c r="M6" s="31">
        <f>+VLOOKUP(B6,[1]Hoja1!$B$2:$H$289,7,0)</f>
        <v>60826.41</v>
      </c>
      <c r="N6" s="33">
        <f t="shared" si="0"/>
        <v>40.550940000000004</v>
      </c>
      <c r="O6" s="33">
        <f t="shared" si="1"/>
        <v>10.137735000000001</v>
      </c>
    </row>
    <row r="7" spans="2:15" x14ac:dyDescent="0.3">
      <c r="B7" s="23">
        <v>5189089</v>
      </c>
      <c r="C7" s="23" t="s">
        <v>77</v>
      </c>
      <c r="D7" s="3" t="s">
        <v>15</v>
      </c>
      <c r="E7" s="23" t="s">
        <v>68</v>
      </c>
      <c r="F7" s="23" t="s">
        <v>12</v>
      </c>
      <c r="G7" s="23" t="s">
        <v>57</v>
      </c>
      <c r="H7" s="23">
        <v>5189090</v>
      </c>
      <c r="I7" s="10">
        <v>2.8220000000000001</v>
      </c>
      <c r="J7" s="11">
        <v>10.5921</v>
      </c>
      <c r="K7" s="12" t="s">
        <v>10</v>
      </c>
      <c r="L7" s="20" t="s">
        <v>11</v>
      </c>
      <c r="M7" s="31">
        <f>+VLOOKUP(B7,[1]Hoja1!$B$2:$H$289,7,0)</f>
        <v>13889.5</v>
      </c>
      <c r="N7" s="33">
        <f t="shared" si="0"/>
        <v>9.259666666666666</v>
      </c>
      <c r="O7" s="33">
        <f t="shared" si="1"/>
        <v>3.2812426175289389</v>
      </c>
    </row>
    <row r="8" spans="2:15" x14ac:dyDescent="0.3">
      <c r="B8" s="24">
        <v>5188950</v>
      </c>
      <c r="C8" s="24" t="s">
        <v>78</v>
      </c>
      <c r="D8" s="2" t="s">
        <v>16</v>
      </c>
      <c r="E8" s="23" t="s">
        <v>68</v>
      </c>
      <c r="F8" s="24" t="s">
        <v>12</v>
      </c>
      <c r="G8" s="24" t="s">
        <v>57</v>
      </c>
      <c r="H8" s="23">
        <v>5189090</v>
      </c>
      <c r="I8" s="7">
        <v>2.5339999999999998</v>
      </c>
      <c r="J8" s="8">
        <v>13.049200000000001</v>
      </c>
      <c r="K8" s="9" t="s">
        <v>10</v>
      </c>
      <c r="L8" s="21" t="s">
        <v>11</v>
      </c>
      <c r="M8" s="31">
        <f>+VLOOKUP(B8,[1]Hoja1!$B$2:$H$289,7,0)</f>
        <v>17913.099999999999</v>
      </c>
      <c r="N8" s="33">
        <f t="shared" si="0"/>
        <v>11.942066666666665</v>
      </c>
      <c r="O8" s="33">
        <f t="shared" si="1"/>
        <v>4.7127334911865297</v>
      </c>
    </row>
    <row r="9" spans="2:15" x14ac:dyDescent="0.3">
      <c r="B9" s="23">
        <v>5189084</v>
      </c>
      <c r="C9" s="23" t="s">
        <v>78</v>
      </c>
      <c r="D9" s="3" t="s">
        <v>16</v>
      </c>
      <c r="E9" s="23" t="s">
        <v>68</v>
      </c>
      <c r="F9" s="23" t="s">
        <v>12</v>
      </c>
      <c r="G9" s="23" t="s">
        <v>57</v>
      </c>
      <c r="H9" s="24">
        <v>5189091</v>
      </c>
      <c r="I9" s="10">
        <v>14.08</v>
      </c>
      <c r="J9" s="11">
        <v>66.514399999999995</v>
      </c>
      <c r="K9" s="12" t="s">
        <v>10</v>
      </c>
      <c r="L9" s="20" t="s">
        <v>11</v>
      </c>
      <c r="M9" s="31">
        <f>+VLOOKUP(B9,[1]Hoja1!$B$2:$H$289,7,0)</f>
        <v>97297.87</v>
      </c>
      <c r="N9" s="31">
        <f t="shared" si="0"/>
        <v>64.865246666666664</v>
      </c>
      <c r="O9" s="31">
        <f t="shared" si="1"/>
        <v>4.6069067234848484</v>
      </c>
    </row>
    <row r="10" spans="2:15" x14ac:dyDescent="0.3">
      <c r="B10" s="23">
        <v>5189090</v>
      </c>
      <c r="C10" s="23" t="s">
        <v>79</v>
      </c>
      <c r="D10" s="3" t="s">
        <v>17</v>
      </c>
      <c r="E10" s="23" t="s">
        <v>68</v>
      </c>
      <c r="F10" s="23" t="s">
        <v>12</v>
      </c>
      <c r="G10" s="23" t="s">
        <v>58</v>
      </c>
      <c r="H10" s="26" t="s">
        <v>62</v>
      </c>
      <c r="I10" s="10">
        <v>0.72</v>
      </c>
      <c r="J10" s="11">
        <v>6.0330000000000004</v>
      </c>
      <c r="K10" s="12" t="s">
        <v>10</v>
      </c>
      <c r="L10" s="20" t="s">
        <v>11</v>
      </c>
      <c r="M10" s="31">
        <f>+VLOOKUP(B10,[1]Hoja1!$B$2:$H$289,7,0)</f>
        <v>7797.29</v>
      </c>
      <c r="N10" s="31">
        <f t="shared" si="0"/>
        <v>5.1981933333333332</v>
      </c>
      <c r="O10" s="31">
        <f t="shared" si="1"/>
        <v>7.2197129629629631</v>
      </c>
    </row>
    <row r="11" spans="2:15" x14ac:dyDescent="0.3">
      <c r="B11" s="24">
        <v>5189091</v>
      </c>
      <c r="C11" s="24" t="s">
        <v>79</v>
      </c>
      <c r="D11" s="2" t="s">
        <v>17</v>
      </c>
      <c r="E11" s="23" t="s">
        <v>68</v>
      </c>
      <c r="F11" s="24" t="s">
        <v>12</v>
      </c>
      <c r="G11" s="24" t="s">
        <v>58</v>
      </c>
      <c r="H11" s="27" t="s">
        <v>62</v>
      </c>
      <c r="I11" s="7">
        <v>4</v>
      </c>
      <c r="J11" s="8">
        <v>28.3752</v>
      </c>
      <c r="K11" s="9" t="s">
        <v>10</v>
      </c>
      <c r="L11" s="21" t="s">
        <v>11</v>
      </c>
      <c r="M11" s="31">
        <f>+VLOOKUP(B11,[1]Hoja1!$B$2:$H$289,7,0)</f>
        <v>38438.519999999997</v>
      </c>
      <c r="N11" s="33">
        <f t="shared" si="0"/>
        <v>25.625679999999999</v>
      </c>
      <c r="O11" s="33">
        <f t="shared" si="1"/>
        <v>6.4064199999999998</v>
      </c>
    </row>
    <row r="12" spans="2:15" x14ac:dyDescent="0.3">
      <c r="B12" s="23">
        <v>5189096</v>
      </c>
      <c r="C12" s="23" t="s">
        <v>81</v>
      </c>
      <c r="D12" s="3" t="s">
        <v>18</v>
      </c>
      <c r="E12" s="23" t="s">
        <v>69</v>
      </c>
      <c r="F12" s="23" t="s">
        <v>12</v>
      </c>
      <c r="G12" s="23" t="s">
        <v>59</v>
      </c>
      <c r="H12" s="23"/>
      <c r="I12" s="10">
        <v>3.1680000000000001</v>
      </c>
      <c r="J12" s="11">
        <v>21.182099999999998</v>
      </c>
      <c r="K12" s="12" t="s">
        <v>10</v>
      </c>
      <c r="L12" s="20" t="s">
        <v>11</v>
      </c>
      <c r="M12" s="31">
        <f>+VLOOKUP(B12,[1]Hoja1!$B$2:$H$289,7,0)</f>
        <v>28086.85</v>
      </c>
      <c r="N12" s="31">
        <f t="shared" ref="N12:N24" si="2">+M12/$N$1</f>
        <v>18.724566666666664</v>
      </c>
      <c r="O12" s="31">
        <f t="shared" ref="O12:O24" si="3">+N12/I12</f>
        <v>5.9105324074074064</v>
      </c>
    </row>
    <row r="13" spans="2:15" x14ac:dyDescent="0.3">
      <c r="B13" s="24">
        <v>5189102</v>
      </c>
      <c r="C13" s="24" t="s">
        <v>80</v>
      </c>
      <c r="D13" s="2" t="s">
        <v>19</v>
      </c>
      <c r="E13" s="23" t="s">
        <v>69</v>
      </c>
      <c r="F13" s="24" t="s">
        <v>12</v>
      </c>
      <c r="G13" s="24" t="s">
        <v>59</v>
      </c>
      <c r="H13" s="24"/>
      <c r="I13" s="7">
        <v>3.1680000000000001</v>
      </c>
      <c r="J13" s="8">
        <v>10.470700000000001</v>
      </c>
      <c r="K13" s="9" t="s">
        <v>10</v>
      </c>
      <c r="L13" s="21" t="s">
        <v>11</v>
      </c>
      <c r="M13" s="31">
        <f>+VLOOKUP(B13,[1]Hoja1!$B$2:$H$289,7,0)</f>
        <v>14072.15</v>
      </c>
      <c r="N13" s="33">
        <f t="shared" si="2"/>
        <v>9.3814333333333337</v>
      </c>
      <c r="O13" s="33">
        <f t="shared" si="3"/>
        <v>2.961311026936027</v>
      </c>
    </row>
    <row r="14" spans="2:15" x14ac:dyDescent="0.3">
      <c r="B14" s="23">
        <v>5189100</v>
      </c>
      <c r="C14" s="23" t="s">
        <v>80</v>
      </c>
      <c r="D14" s="3" t="s">
        <v>19</v>
      </c>
      <c r="E14" s="23" t="s">
        <v>69</v>
      </c>
      <c r="F14" s="23" t="s">
        <v>12</v>
      </c>
      <c r="G14" s="23" t="s">
        <v>59</v>
      </c>
      <c r="H14" s="23"/>
      <c r="I14" s="10">
        <v>17.600000000000001</v>
      </c>
      <c r="J14" s="11">
        <v>59.820500000000003</v>
      </c>
      <c r="K14" s="12" t="s">
        <v>10</v>
      </c>
      <c r="L14" s="20" t="s">
        <v>11</v>
      </c>
      <c r="M14" s="31">
        <f>+VLOOKUP(B14,[1]Hoja1!$B$2:$H$289,7,0)</f>
        <v>87934.64</v>
      </c>
      <c r="N14" s="31">
        <f t="shared" si="2"/>
        <v>58.62309333333333</v>
      </c>
      <c r="O14" s="31">
        <f t="shared" si="3"/>
        <v>3.3308575757575754</v>
      </c>
    </row>
    <row r="15" spans="2:15" x14ac:dyDescent="0.3">
      <c r="B15" s="24">
        <v>5189106</v>
      </c>
      <c r="C15" s="24" t="s">
        <v>77</v>
      </c>
      <c r="D15" s="2" t="s">
        <v>20</v>
      </c>
      <c r="E15" s="23" t="s">
        <v>69</v>
      </c>
      <c r="F15" s="24" t="s">
        <v>12</v>
      </c>
      <c r="G15" s="24" t="s">
        <v>59</v>
      </c>
      <c r="H15" s="24"/>
      <c r="I15" s="7">
        <v>3.49</v>
      </c>
      <c r="J15" s="8">
        <v>19.2485</v>
      </c>
      <c r="K15" s="9" t="s">
        <v>10</v>
      </c>
      <c r="L15" s="21" t="s">
        <v>11</v>
      </c>
      <c r="M15" s="31">
        <f>+VLOOKUP(B15,[1]Hoja1!$B$2:$H$289,7,0)</f>
        <v>25386.85</v>
      </c>
      <c r="N15" s="33">
        <f t="shared" si="2"/>
        <v>16.924566666666667</v>
      </c>
      <c r="O15" s="33">
        <f t="shared" si="3"/>
        <v>4.8494460362941734</v>
      </c>
    </row>
    <row r="16" spans="2:15" x14ac:dyDescent="0.3">
      <c r="B16" s="23">
        <v>5189104</v>
      </c>
      <c r="C16" s="23" t="s">
        <v>77</v>
      </c>
      <c r="D16" s="3" t="s">
        <v>20</v>
      </c>
      <c r="E16" s="23" t="s">
        <v>69</v>
      </c>
      <c r="F16" s="23" t="s">
        <v>8</v>
      </c>
      <c r="G16" s="23" t="s">
        <v>59</v>
      </c>
      <c r="H16" s="23"/>
      <c r="I16" s="10">
        <v>19.399999999999999</v>
      </c>
      <c r="J16" s="11">
        <v>96.455799999999996</v>
      </c>
      <c r="K16" s="12" t="s">
        <v>10</v>
      </c>
      <c r="L16" s="20" t="s">
        <v>11</v>
      </c>
      <c r="M16" s="31">
        <f>+VLOOKUP(B16,[1]Hoja1!$B$2:$H$289,7,0)</f>
        <v>127045.77</v>
      </c>
      <c r="N16" s="31">
        <f t="shared" si="2"/>
        <v>84.697180000000003</v>
      </c>
      <c r="O16" s="31">
        <f t="shared" si="3"/>
        <v>4.3658340206185571</v>
      </c>
    </row>
    <row r="17" spans="2:15" x14ac:dyDescent="0.3">
      <c r="B17" s="23">
        <v>5269676</v>
      </c>
      <c r="C17" s="23" t="s">
        <v>82</v>
      </c>
      <c r="D17" s="3" t="s">
        <v>21</v>
      </c>
      <c r="E17" s="23" t="s">
        <v>63</v>
      </c>
      <c r="F17" s="23" t="s">
        <v>8</v>
      </c>
      <c r="G17" s="23" t="s">
        <v>57</v>
      </c>
      <c r="H17" s="23">
        <v>5253539</v>
      </c>
      <c r="I17" s="10">
        <v>3.02</v>
      </c>
      <c r="J17" s="11">
        <v>12.0677</v>
      </c>
      <c r="K17" s="12" t="s">
        <v>10</v>
      </c>
      <c r="L17" s="20" t="s">
        <v>11</v>
      </c>
      <c r="M17" s="31">
        <f>+VLOOKUP(B17,[1]Hoja1!$B$2:$H$289,7,0)</f>
        <v>18078.61</v>
      </c>
      <c r="N17" s="32">
        <f t="shared" si="2"/>
        <v>12.052406666666666</v>
      </c>
      <c r="O17" s="32">
        <f t="shared" si="3"/>
        <v>3.9908631346578365</v>
      </c>
    </row>
    <row r="18" spans="2:15" x14ac:dyDescent="0.3">
      <c r="B18" s="24">
        <v>5269675</v>
      </c>
      <c r="C18" s="24" t="s">
        <v>82</v>
      </c>
      <c r="D18" s="2" t="s">
        <v>21</v>
      </c>
      <c r="E18" s="23" t="s">
        <v>63</v>
      </c>
      <c r="F18" s="24" t="s">
        <v>8</v>
      </c>
      <c r="G18" s="24" t="s">
        <v>57</v>
      </c>
      <c r="H18" s="24">
        <v>5245696</v>
      </c>
      <c r="I18" s="7">
        <v>16.8</v>
      </c>
      <c r="J18" s="8">
        <v>66.878600000000006</v>
      </c>
      <c r="K18" s="9" t="s">
        <v>10</v>
      </c>
      <c r="L18" s="21" t="s">
        <v>11</v>
      </c>
      <c r="M18" s="31">
        <f>+VLOOKUP(B18,[1]Hoja1!$B$2:$H$289,7,0)</f>
        <v>91066.4</v>
      </c>
      <c r="N18" s="33">
        <f t="shared" si="2"/>
        <v>60.71093333333333</v>
      </c>
      <c r="O18" s="33">
        <f t="shared" si="3"/>
        <v>3.6137460317460315</v>
      </c>
    </row>
    <row r="19" spans="2:15" x14ac:dyDescent="0.3">
      <c r="B19" s="23">
        <v>5253539</v>
      </c>
      <c r="C19" s="23" t="s">
        <v>83</v>
      </c>
      <c r="D19" s="3" t="s">
        <v>22</v>
      </c>
      <c r="E19" s="23" t="s">
        <v>63</v>
      </c>
      <c r="F19" s="23" t="s">
        <v>8</v>
      </c>
      <c r="G19" s="23" t="s">
        <v>58</v>
      </c>
      <c r="H19" s="26" t="s">
        <v>62</v>
      </c>
      <c r="I19" s="10">
        <v>3.6</v>
      </c>
      <c r="J19" s="11">
        <v>14.6568</v>
      </c>
      <c r="K19" s="12" t="s">
        <v>10</v>
      </c>
      <c r="L19" s="20" t="s">
        <v>11</v>
      </c>
      <c r="M19" s="31">
        <f>+VLOOKUP(B19,[1]Hoja1!$B$2:$H$289,7,0)</f>
        <v>20644.71</v>
      </c>
      <c r="N19" s="29">
        <f t="shared" si="2"/>
        <v>13.76314</v>
      </c>
      <c r="O19" s="29">
        <f t="shared" si="3"/>
        <v>3.8230944444444441</v>
      </c>
    </row>
    <row r="20" spans="2:15" x14ac:dyDescent="0.3">
      <c r="B20" s="24">
        <v>5245696</v>
      </c>
      <c r="C20" s="24" t="s">
        <v>83</v>
      </c>
      <c r="D20" s="2" t="s">
        <v>22</v>
      </c>
      <c r="E20" s="23" t="s">
        <v>63</v>
      </c>
      <c r="F20" s="24" t="s">
        <v>8</v>
      </c>
      <c r="G20" s="24" t="s">
        <v>58</v>
      </c>
      <c r="H20" s="27" t="s">
        <v>62</v>
      </c>
      <c r="I20" s="7">
        <v>20</v>
      </c>
      <c r="J20" s="8">
        <v>73.708200000000005</v>
      </c>
      <c r="K20" s="9" t="s">
        <v>10</v>
      </c>
      <c r="L20" s="21" t="s">
        <v>11</v>
      </c>
      <c r="M20" s="31">
        <f>+VLOOKUP(B20,[1]Hoja1!$B$2:$H$289,7,0)</f>
        <v>102224.37</v>
      </c>
      <c r="N20" s="29">
        <f t="shared" si="2"/>
        <v>68.14958</v>
      </c>
      <c r="O20" s="29">
        <f t="shared" si="3"/>
        <v>3.4074789999999999</v>
      </c>
    </row>
    <row r="21" spans="2:15" x14ac:dyDescent="0.3">
      <c r="B21" s="24">
        <v>5182203</v>
      </c>
      <c r="C21" s="24" t="s">
        <v>84</v>
      </c>
      <c r="D21" s="2" t="s">
        <v>26</v>
      </c>
      <c r="E21" s="24" t="s">
        <v>66</v>
      </c>
      <c r="F21" s="24" t="s">
        <v>8</v>
      </c>
      <c r="G21" s="24" t="s">
        <v>58</v>
      </c>
      <c r="H21" s="27" t="s">
        <v>62</v>
      </c>
      <c r="I21" s="7">
        <v>0.54</v>
      </c>
      <c r="J21" s="8">
        <v>6.7526000000000002</v>
      </c>
      <c r="K21" s="9" t="s">
        <v>10</v>
      </c>
      <c r="L21" s="21" t="s">
        <v>11</v>
      </c>
      <c r="M21" s="31">
        <f>+VLOOKUP(B21,[1]Hoja1!$B$2:$H$289,7,0)</f>
        <v>9254.65</v>
      </c>
      <c r="N21" s="29">
        <f t="shared" si="2"/>
        <v>6.1697666666666668</v>
      </c>
      <c r="O21" s="29">
        <f t="shared" si="3"/>
        <v>11.425493827160494</v>
      </c>
    </row>
    <row r="22" spans="2:15" x14ac:dyDescent="0.3">
      <c r="B22" s="24">
        <v>5189209</v>
      </c>
      <c r="C22" s="24" t="s">
        <v>85</v>
      </c>
      <c r="D22" s="2" t="s">
        <v>27</v>
      </c>
      <c r="E22" s="24" t="s">
        <v>66</v>
      </c>
      <c r="F22" s="24" t="s">
        <v>8</v>
      </c>
      <c r="G22" s="24" t="s">
        <v>58</v>
      </c>
      <c r="H22" s="27" t="s">
        <v>62</v>
      </c>
      <c r="I22" s="7">
        <v>0.54</v>
      </c>
      <c r="J22" s="8">
        <v>3.2313999999999998</v>
      </c>
      <c r="K22" s="9" t="s">
        <v>10</v>
      </c>
      <c r="L22" s="21" t="s">
        <v>11</v>
      </c>
      <c r="M22" s="31">
        <f>+VLOOKUP(B22,[1]Hoja1!$B$2:$H$289,7,0)</f>
        <v>4266.03</v>
      </c>
      <c r="N22" s="29">
        <f t="shared" si="2"/>
        <v>2.84402</v>
      </c>
      <c r="O22" s="29">
        <f t="shared" si="3"/>
        <v>5.266703703703703</v>
      </c>
    </row>
    <row r="23" spans="2:15" x14ac:dyDescent="0.3">
      <c r="B23" s="23">
        <v>5189196</v>
      </c>
      <c r="C23" s="23" t="s">
        <v>86</v>
      </c>
      <c r="D23" s="3" t="s">
        <v>23</v>
      </c>
      <c r="E23" s="24" t="s">
        <v>66</v>
      </c>
      <c r="F23" s="23" t="s">
        <v>8</v>
      </c>
      <c r="G23" s="23" t="s">
        <v>57</v>
      </c>
      <c r="H23" s="23">
        <v>5182203</v>
      </c>
      <c r="I23" s="10">
        <v>2.7719999999999998</v>
      </c>
      <c r="J23" s="11">
        <v>12.621499999999999</v>
      </c>
      <c r="K23" s="12" t="s">
        <v>10</v>
      </c>
      <c r="L23" s="20" t="s">
        <v>11</v>
      </c>
      <c r="M23" s="31">
        <f>+VLOOKUP(B23,[1]Hoja1!$B$2:$H$289,7,0)</f>
        <v>16616.09</v>
      </c>
      <c r="N23" s="29">
        <f t="shared" si="2"/>
        <v>11.077393333333333</v>
      </c>
      <c r="O23" s="29">
        <f t="shared" si="3"/>
        <v>3.9961736411736415</v>
      </c>
    </row>
    <row r="24" spans="2:15" x14ac:dyDescent="0.3">
      <c r="B24" s="24">
        <v>5189200</v>
      </c>
      <c r="C24" s="24" t="s">
        <v>87</v>
      </c>
      <c r="D24" s="2" t="s">
        <v>24</v>
      </c>
      <c r="E24" s="24" t="s">
        <v>66</v>
      </c>
      <c r="F24" s="24" t="s">
        <v>8</v>
      </c>
      <c r="G24" s="24" t="s">
        <v>57</v>
      </c>
      <c r="H24" s="23">
        <v>5182203</v>
      </c>
      <c r="I24" s="7">
        <v>2.7719999999999998</v>
      </c>
      <c r="J24" s="8">
        <v>12.0967</v>
      </c>
      <c r="K24" s="9" t="s">
        <v>10</v>
      </c>
      <c r="L24" s="21" t="s">
        <v>11</v>
      </c>
      <c r="M24" s="31">
        <f>+VLOOKUP(B24,[1]Hoja1!$B$2:$H$289,7,0)</f>
        <v>16764.060000000001</v>
      </c>
      <c r="N24" s="29">
        <f t="shared" si="2"/>
        <v>11.17604</v>
      </c>
      <c r="O24" s="29">
        <f t="shared" si="3"/>
        <v>4.0317604617604621</v>
      </c>
    </row>
    <row r="25" spans="2:15" x14ac:dyDescent="0.3">
      <c r="B25" s="24">
        <v>5189206</v>
      </c>
      <c r="C25" s="24" t="s">
        <v>88</v>
      </c>
      <c r="D25" s="2" t="s">
        <v>25</v>
      </c>
      <c r="E25" s="24" t="s">
        <v>66</v>
      </c>
      <c r="F25" s="24" t="s">
        <v>8</v>
      </c>
      <c r="G25" s="24" t="s">
        <v>57</v>
      </c>
      <c r="H25" s="23">
        <v>5182203</v>
      </c>
      <c r="I25" s="7">
        <v>2.9159999999999999</v>
      </c>
      <c r="J25" s="8">
        <v>14.0351</v>
      </c>
      <c r="K25" s="9" t="s">
        <v>10</v>
      </c>
      <c r="L25" s="21" t="s">
        <v>11</v>
      </c>
      <c r="M25" s="31">
        <f>+VLOOKUP(B25,[1]Hoja1!$B$2:$H$289,7,0)</f>
        <v>18477.86</v>
      </c>
      <c r="N25" s="29">
        <f t="shared" ref="N25:N47" si="4">+M25/$N$1</f>
        <v>12.318573333333333</v>
      </c>
      <c r="O25" s="29">
        <f t="shared" ref="O25:O47" si="5">+N25/I25</f>
        <v>4.2244764517604025</v>
      </c>
    </row>
    <row r="26" spans="2:15" x14ac:dyDescent="0.3">
      <c r="B26" s="23">
        <v>5182202</v>
      </c>
      <c r="C26" s="23" t="s">
        <v>84</v>
      </c>
      <c r="D26" s="3" t="s">
        <v>26</v>
      </c>
      <c r="E26" s="24" t="s">
        <v>66</v>
      </c>
      <c r="F26" s="23" t="s">
        <v>8</v>
      </c>
      <c r="G26" s="23" t="s">
        <v>58</v>
      </c>
      <c r="H26" s="26" t="s">
        <v>62</v>
      </c>
      <c r="I26" s="10">
        <v>3</v>
      </c>
      <c r="J26" s="11">
        <v>29.674099999999999</v>
      </c>
      <c r="K26" s="12" t="s">
        <v>10</v>
      </c>
      <c r="L26" s="20" t="s">
        <v>11</v>
      </c>
      <c r="M26" s="31">
        <f>+VLOOKUP(B26,[1]Hoja1!$B$2:$H$289,7,0)</f>
        <v>40068.199999999997</v>
      </c>
      <c r="N26" s="29">
        <f t="shared" si="4"/>
        <v>26.71213333333333</v>
      </c>
      <c r="O26" s="29">
        <f t="shared" si="5"/>
        <v>8.9040444444444429</v>
      </c>
    </row>
    <row r="27" spans="2:15" x14ac:dyDescent="0.3">
      <c r="B27" s="23">
        <v>5189210</v>
      </c>
      <c r="C27" s="23" t="s">
        <v>85</v>
      </c>
      <c r="D27" s="3" t="s">
        <v>27</v>
      </c>
      <c r="E27" s="24" t="s">
        <v>66</v>
      </c>
      <c r="F27" s="23" t="s">
        <v>8</v>
      </c>
      <c r="G27" s="23" t="s">
        <v>58</v>
      </c>
      <c r="H27" s="26" t="s">
        <v>62</v>
      </c>
      <c r="I27" s="10">
        <v>3</v>
      </c>
      <c r="J27" s="11">
        <v>18.395499999999998</v>
      </c>
      <c r="K27" s="12" t="s">
        <v>10</v>
      </c>
      <c r="L27" s="20" t="s">
        <v>11</v>
      </c>
      <c r="M27" s="31">
        <f>+VLOOKUP(B27,[1]Hoja1!$B$2:$H$289,7,0)</f>
        <v>24292.01</v>
      </c>
      <c r="N27" s="29">
        <f t="shared" si="4"/>
        <v>16.194673333333331</v>
      </c>
      <c r="O27" s="29">
        <f t="shared" si="5"/>
        <v>5.3982244444444438</v>
      </c>
    </row>
    <row r="28" spans="2:15" x14ac:dyDescent="0.3">
      <c r="B28" s="23">
        <v>5189199</v>
      </c>
      <c r="C28" s="23" t="s">
        <v>87</v>
      </c>
      <c r="D28" s="3" t="s">
        <v>24</v>
      </c>
      <c r="E28" s="24" t="s">
        <v>66</v>
      </c>
      <c r="F28" s="23" t="s">
        <v>8</v>
      </c>
      <c r="G28" s="23" t="s">
        <v>57</v>
      </c>
      <c r="H28" s="23">
        <v>5182202</v>
      </c>
      <c r="I28" s="10">
        <v>15.4</v>
      </c>
      <c r="J28" s="11">
        <v>70.666899999999998</v>
      </c>
      <c r="K28" s="12" t="s">
        <v>10</v>
      </c>
      <c r="L28" s="20" t="s">
        <v>11</v>
      </c>
      <c r="M28" s="31">
        <f>+VLOOKUP(B28,[1]Hoja1!$B$2:$H$289,7,0)</f>
        <v>68399.91</v>
      </c>
      <c r="N28" s="29">
        <f t="shared" si="4"/>
        <v>45.599940000000004</v>
      </c>
      <c r="O28" s="29">
        <f t="shared" si="5"/>
        <v>2.9610350649350652</v>
      </c>
    </row>
    <row r="29" spans="2:15" x14ac:dyDescent="0.3">
      <c r="B29" s="23">
        <v>5189204</v>
      </c>
      <c r="C29" s="23" t="s">
        <v>88</v>
      </c>
      <c r="D29" s="3" t="s">
        <v>51</v>
      </c>
      <c r="E29" s="24" t="s">
        <v>66</v>
      </c>
      <c r="F29" s="23" t="s">
        <v>8</v>
      </c>
      <c r="G29" s="23" t="s">
        <v>57</v>
      </c>
      <c r="H29" s="23">
        <v>5182202</v>
      </c>
      <c r="I29" s="10">
        <v>16.2</v>
      </c>
      <c r="J29" s="11">
        <v>55.849499999999999</v>
      </c>
      <c r="K29" s="12" t="s">
        <v>10</v>
      </c>
      <c r="L29" s="20" t="s">
        <v>11</v>
      </c>
      <c r="M29" s="31">
        <f>+VLOOKUP(B29,[1]Hoja1!$B$2:$H$289,7,0)</f>
        <v>73117.789999999994</v>
      </c>
      <c r="N29" s="29">
        <f t="shared" si="4"/>
        <v>48.745193333333326</v>
      </c>
      <c r="O29" s="29">
        <f t="shared" si="5"/>
        <v>3.0089625514403289</v>
      </c>
    </row>
    <row r="30" spans="2:15" x14ac:dyDescent="0.3">
      <c r="B30" s="23">
        <v>5219744</v>
      </c>
      <c r="C30" s="23" t="s">
        <v>89</v>
      </c>
      <c r="D30" s="3" t="s">
        <v>28</v>
      </c>
      <c r="E30" s="25" t="s">
        <v>70</v>
      </c>
      <c r="F30" s="23" t="s">
        <v>12</v>
      </c>
      <c r="G30" s="23" t="s">
        <v>59</v>
      </c>
      <c r="H30" s="26" t="s">
        <v>62</v>
      </c>
      <c r="I30" s="10">
        <v>3.17</v>
      </c>
      <c r="J30" s="11">
        <v>13.098699999999999</v>
      </c>
      <c r="K30" s="12" t="s">
        <v>10</v>
      </c>
      <c r="L30" s="20" t="s">
        <v>11</v>
      </c>
      <c r="M30" s="31">
        <f>+VLOOKUP(B30,[1]Hoja1!$B$2:$H$289,7,0)</f>
        <v>17205.21</v>
      </c>
      <c r="N30" s="29">
        <f t="shared" si="4"/>
        <v>11.470139999999999</v>
      </c>
      <c r="O30" s="29">
        <f t="shared" si="5"/>
        <v>3.6183406940063088</v>
      </c>
    </row>
    <row r="31" spans="2:15" x14ac:dyDescent="0.3">
      <c r="B31" s="24">
        <v>5189214</v>
      </c>
      <c r="C31" s="24" t="s">
        <v>89</v>
      </c>
      <c r="D31" s="2" t="s">
        <v>28</v>
      </c>
      <c r="E31" s="25" t="s">
        <v>70</v>
      </c>
      <c r="F31" s="24" t="s">
        <v>12</v>
      </c>
      <c r="G31" s="24" t="s">
        <v>59</v>
      </c>
      <c r="H31" s="26" t="s">
        <v>62</v>
      </c>
      <c r="I31" s="7">
        <v>17.600000000000001</v>
      </c>
      <c r="J31" s="8">
        <v>111.80410000000001</v>
      </c>
      <c r="K31" s="9" t="s">
        <v>10</v>
      </c>
      <c r="L31" s="21" t="s">
        <v>11</v>
      </c>
      <c r="M31" s="31">
        <f>+VLOOKUP(B31,[1]Hoja1!$B$2:$H$289,7,0)</f>
        <v>202879.94</v>
      </c>
      <c r="N31" s="29">
        <f t="shared" si="4"/>
        <v>135.25329333333335</v>
      </c>
      <c r="O31" s="29">
        <f t="shared" si="5"/>
        <v>7.6848462121212124</v>
      </c>
    </row>
    <row r="32" spans="2:15" x14ac:dyDescent="0.3">
      <c r="B32" s="23">
        <v>5189218</v>
      </c>
      <c r="C32" s="23" t="s">
        <v>90</v>
      </c>
      <c r="D32" s="3" t="s">
        <v>29</v>
      </c>
      <c r="E32" s="25" t="s">
        <v>70</v>
      </c>
      <c r="F32" s="23" t="s">
        <v>12</v>
      </c>
      <c r="G32" s="23" t="s">
        <v>59</v>
      </c>
      <c r="H32" s="26" t="s">
        <v>62</v>
      </c>
      <c r="I32" s="10">
        <v>3.528</v>
      </c>
      <c r="J32" s="11">
        <v>8.4391999999999996</v>
      </c>
      <c r="K32" s="12" t="s">
        <v>10</v>
      </c>
      <c r="L32" s="20" t="s">
        <v>11</v>
      </c>
      <c r="M32" s="31">
        <f>+VLOOKUP(B32,[1]Hoja1!$B$2:$H$289,7,0)</f>
        <v>10952.07</v>
      </c>
      <c r="N32" s="29">
        <f t="shared" si="4"/>
        <v>7.30138</v>
      </c>
      <c r="O32" s="29">
        <f t="shared" si="5"/>
        <v>2.0695521541950113</v>
      </c>
    </row>
    <row r="33" spans="2:15" x14ac:dyDescent="0.3">
      <c r="B33" s="23">
        <v>5694710</v>
      </c>
      <c r="C33" s="23" t="s">
        <v>92</v>
      </c>
      <c r="D33" s="3" t="s">
        <v>30</v>
      </c>
      <c r="E33" s="23" t="s">
        <v>65</v>
      </c>
      <c r="F33" s="23" t="s">
        <v>8</v>
      </c>
      <c r="G33" s="23" t="s">
        <v>57</v>
      </c>
      <c r="H33" s="24">
        <v>5622092</v>
      </c>
      <c r="I33" s="10">
        <v>3.02</v>
      </c>
      <c r="J33" s="11">
        <v>18.796500000000002</v>
      </c>
      <c r="K33" s="12" t="s">
        <v>10</v>
      </c>
      <c r="L33" s="20" t="s">
        <v>11</v>
      </c>
      <c r="M33" s="31">
        <f>+VLOOKUP(B33,[1]Hoja1!$B$2:$H$289,7,0)</f>
        <v>24825.599999999999</v>
      </c>
      <c r="N33" s="29">
        <f t="shared" si="4"/>
        <v>16.5504</v>
      </c>
      <c r="O33" s="29">
        <f t="shared" si="5"/>
        <v>5.4802649006622515</v>
      </c>
    </row>
    <row r="34" spans="2:15" x14ac:dyDescent="0.3">
      <c r="B34" s="24">
        <v>5694709</v>
      </c>
      <c r="C34" s="24" t="s">
        <v>93</v>
      </c>
      <c r="D34" s="2" t="s">
        <v>31</v>
      </c>
      <c r="E34" s="23" t="s">
        <v>65</v>
      </c>
      <c r="F34" s="24" t="s">
        <v>8</v>
      </c>
      <c r="G34" s="24" t="s">
        <v>57</v>
      </c>
      <c r="H34" s="24">
        <v>5622092</v>
      </c>
      <c r="I34" s="7">
        <v>2.7149999999999999</v>
      </c>
      <c r="J34" s="8">
        <v>19.5928</v>
      </c>
      <c r="K34" s="9" t="s">
        <v>10</v>
      </c>
      <c r="L34" s="21" t="s">
        <v>11</v>
      </c>
      <c r="M34" s="31">
        <f>+VLOOKUP(B34,[1]Hoja1!$B$2:$H$289,7,0)</f>
        <v>26750.99</v>
      </c>
      <c r="N34" s="29">
        <f t="shared" si="4"/>
        <v>17.833993333333336</v>
      </c>
      <c r="O34" s="29">
        <f t="shared" si="5"/>
        <v>6.5686899938612662</v>
      </c>
    </row>
    <row r="35" spans="2:15" x14ac:dyDescent="0.3">
      <c r="B35" s="23">
        <v>5990049</v>
      </c>
      <c r="C35" s="23" t="s">
        <v>93</v>
      </c>
      <c r="D35" s="3" t="s">
        <v>32</v>
      </c>
      <c r="E35" s="23" t="s">
        <v>65</v>
      </c>
      <c r="F35" s="23" t="s">
        <v>8</v>
      </c>
      <c r="G35" s="23" t="s">
        <v>57</v>
      </c>
      <c r="H35" s="23">
        <v>5622093</v>
      </c>
      <c r="I35" s="10">
        <v>15.08</v>
      </c>
      <c r="J35" s="11">
        <v>103.1157</v>
      </c>
      <c r="K35" s="12" t="s">
        <v>10</v>
      </c>
      <c r="L35" s="20" t="s">
        <v>11</v>
      </c>
      <c r="M35" s="31">
        <f>+VLOOKUP(B35,[1]Hoja1!$B$2:$H$289,7,0)</f>
        <v>135310.23000000001</v>
      </c>
      <c r="N35" s="29">
        <f t="shared" si="4"/>
        <v>90.206820000000008</v>
      </c>
      <c r="O35" s="29">
        <f t="shared" si="5"/>
        <v>5.9818846153846161</v>
      </c>
    </row>
    <row r="36" spans="2:15" x14ac:dyDescent="0.3">
      <c r="B36" s="24">
        <v>5622093</v>
      </c>
      <c r="C36" s="24" t="s">
        <v>95</v>
      </c>
      <c r="D36" s="2" t="s">
        <v>33</v>
      </c>
      <c r="E36" s="23" t="s">
        <v>65</v>
      </c>
      <c r="F36" s="24" t="s">
        <v>8</v>
      </c>
      <c r="G36" s="24" t="s">
        <v>58</v>
      </c>
      <c r="H36" s="27" t="s">
        <v>62</v>
      </c>
      <c r="I36" s="7">
        <v>2.83</v>
      </c>
      <c r="J36" s="8">
        <v>20.638200000000001</v>
      </c>
      <c r="K36" s="9" t="s">
        <v>10</v>
      </c>
      <c r="L36" s="21" t="s">
        <v>11</v>
      </c>
      <c r="M36" s="31">
        <f>+VLOOKUP(B36,[1]Hoja1!$B$2:$H$289,7,0)</f>
        <v>27820.36</v>
      </c>
      <c r="N36" s="29">
        <f t="shared" si="4"/>
        <v>18.546906666666668</v>
      </c>
      <c r="O36" s="29">
        <f t="shared" si="5"/>
        <v>6.5536772673733807</v>
      </c>
    </row>
    <row r="37" spans="2:15" x14ac:dyDescent="0.3">
      <c r="B37" s="23">
        <v>5622092</v>
      </c>
      <c r="C37" s="23" t="s">
        <v>95</v>
      </c>
      <c r="D37" s="3" t="s">
        <v>33</v>
      </c>
      <c r="E37" s="23" t="s">
        <v>65</v>
      </c>
      <c r="F37" s="23" t="s">
        <v>8</v>
      </c>
      <c r="G37" s="23" t="s">
        <v>58</v>
      </c>
      <c r="H37" s="26" t="s">
        <v>62</v>
      </c>
      <c r="I37" s="10">
        <v>0.51</v>
      </c>
      <c r="J37" s="11">
        <v>4.8467000000000002</v>
      </c>
      <c r="K37" s="12" t="s">
        <v>10</v>
      </c>
      <c r="L37" s="20" t="s">
        <v>11</v>
      </c>
      <c r="M37" s="31">
        <f>+VLOOKUP(B37,[1]Hoja1!$B$2:$H$289,7,0)</f>
        <v>6558.62</v>
      </c>
      <c r="N37" s="29">
        <f t="shared" si="4"/>
        <v>4.3724133333333333</v>
      </c>
      <c r="O37" s="29">
        <f t="shared" si="5"/>
        <v>8.5733594771241819</v>
      </c>
    </row>
    <row r="38" spans="2:15" x14ac:dyDescent="0.3">
      <c r="B38" s="24">
        <v>5688225</v>
      </c>
      <c r="C38" s="24" t="s">
        <v>96</v>
      </c>
      <c r="D38" s="2" t="s">
        <v>34</v>
      </c>
      <c r="E38" s="23" t="s">
        <v>65</v>
      </c>
      <c r="F38" s="24" t="s">
        <v>8</v>
      </c>
      <c r="G38" s="24" t="s">
        <v>57</v>
      </c>
      <c r="H38" s="24">
        <v>5622092</v>
      </c>
      <c r="I38" s="7">
        <v>2.7149999999999999</v>
      </c>
      <c r="J38" s="8">
        <v>8.8888999999999996</v>
      </c>
      <c r="K38" s="9" t="s">
        <v>10</v>
      </c>
      <c r="L38" s="21" t="s">
        <v>11</v>
      </c>
      <c r="M38" s="31">
        <f>+VLOOKUP(B38,[1]Hoja1!$B$2:$H$289,7,0)</f>
        <v>11624.64</v>
      </c>
      <c r="N38" s="29">
        <f t="shared" si="4"/>
        <v>7.7497599999999993</v>
      </c>
      <c r="O38" s="29">
        <f t="shared" si="5"/>
        <v>2.8544235727440146</v>
      </c>
    </row>
    <row r="39" spans="2:15" x14ac:dyDescent="0.3">
      <c r="B39" s="23">
        <v>5688223</v>
      </c>
      <c r="C39" s="23" t="s">
        <v>91</v>
      </c>
      <c r="D39" s="3" t="s">
        <v>35</v>
      </c>
      <c r="E39" s="23" t="s">
        <v>65</v>
      </c>
      <c r="F39" s="23" t="s">
        <v>8</v>
      </c>
      <c r="G39" s="23" t="s">
        <v>57</v>
      </c>
      <c r="H39" s="24">
        <v>5622092</v>
      </c>
      <c r="I39" s="10">
        <v>3.024</v>
      </c>
      <c r="J39" s="11">
        <v>10.905200000000001</v>
      </c>
      <c r="K39" s="12" t="s">
        <v>10</v>
      </c>
      <c r="L39" s="20" t="s">
        <v>11</v>
      </c>
      <c r="M39" s="31">
        <f>+VLOOKUP(B39,[1]Hoja1!$B$2:$H$289,7,0)</f>
        <v>14289.84</v>
      </c>
      <c r="N39" s="29">
        <f t="shared" si="4"/>
        <v>9.5265599999999999</v>
      </c>
      <c r="O39" s="29">
        <f t="shared" si="5"/>
        <v>3.1503174603174604</v>
      </c>
    </row>
    <row r="40" spans="2:15" x14ac:dyDescent="0.3">
      <c r="B40" s="24">
        <v>5901789</v>
      </c>
      <c r="C40" s="24" t="s">
        <v>94</v>
      </c>
      <c r="D40" s="2" t="s">
        <v>36</v>
      </c>
      <c r="E40" s="23" t="s">
        <v>65</v>
      </c>
      <c r="F40" s="24" t="s">
        <v>8</v>
      </c>
      <c r="G40" s="24" t="s">
        <v>57</v>
      </c>
      <c r="H40" s="24">
        <v>5622092</v>
      </c>
      <c r="I40" s="7">
        <v>2.7149999999999999</v>
      </c>
      <c r="J40" s="8">
        <v>14.332599999999999</v>
      </c>
      <c r="K40" s="9" t="s">
        <v>10</v>
      </c>
      <c r="L40" s="21" t="s">
        <v>11</v>
      </c>
      <c r="M40" s="31">
        <f>+VLOOKUP(B40,[1]Hoja1!$B$2:$H$289,7,0)</f>
        <v>18958.759999999998</v>
      </c>
      <c r="N40" s="29">
        <f t="shared" si="4"/>
        <v>12.639173333333332</v>
      </c>
      <c r="O40" s="29">
        <f t="shared" si="5"/>
        <v>4.6553124616329038</v>
      </c>
    </row>
    <row r="41" spans="2:15" x14ac:dyDescent="0.3">
      <c r="B41" s="23">
        <v>5990051</v>
      </c>
      <c r="C41" s="23" t="s">
        <v>94</v>
      </c>
      <c r="D41" s="3" t="s">
        <v>37</v>
      </c>
      <c r="E41" s="23" t="s">
        <v>65</v>
      </c>
      <c r="F41" s="23" t="s">
        <v>8</v>
      </c>
      <c r="G41" s="23" t="s">
        <v>57</v>
      </c>
      <c r="H41" s="23">
        <v>5622093</v>
      </c>
      <c r="I41" s="10">
        <v>15.08</v>
      </c>
      <c r="J41" s="11">
        <v>84.497699999999995</v>
      </c>
      <c r="K41" s="12" t="s">
        <v>10</v>
      </c>
      <c r="L41" s="20" t="s">
        <v>11</v>
      </c>
      <c r="M41" s="31">
        <f>+VLOOKUP(B41,[1]Hoja1!$B$2:$H$289,7,0)</f>
        <v>112234.63</v>
      </c>
      <c r="N41" s="29">
        <f t="shared" si="4"/>
        <v>74.823086666666669</v>
      </c>
      <c r="O41" s="29">
        <f t="shared" si="5"/>
        <v>4.9617431476569411</v>
      </c>
    </row>
    <row r="42" spans="2:15" x14ac:dyDescent="0.3">
      <c r="B42" s="23">
        <v>5601048</v>
      </c>
      <c r="C42" s="23" t="s">
        <v>98</v>
      </c>
      <c r="D42" s="3" t="s">
        <v>38</v>
      </c>
      <c r="E42" s="23" t="s">
        <v>71</v>
      </c>
      <c r="F42" s="23" t="s">
        <v>8</v>
      </c>
      <c r="G42" s="23" t="s">
        <v>57</v>
      </c>
      <c r="H42" s="24">
        <v>5584708</v>
      </c>
      <c r="I42" s="10">
        <v>2.9</v>
      </c>
      <c r="J42" s="11">
        <v>15.7989</v>
      </c>
      <c r="K42" s="12" t="s">
        <v>10</v>
      </c>
      <c r="L42" s="20" t="s">
        <v>11</v>
      </c>
      <c r="M42" s="31">
        <f>+VLOOKUP(B42,[1]Hoja1!$B$2:$H$289,7,0)</f>
        <v>20834.14</v>
      </c>
      <c r="N42" s="29">
        <f t="shared" si="4"/>
        <v>13.889426666666667</v>
      </c>
      <c r="O42" s="29">
        <f t="shared" si="5"/>
        <v>4.7894574712643685</v>
      </c>
    </row>
    <row r="43" spans="2:15" x14ac:dyDescent="0.3">
      <c r="B43" s="24">
        <v>5584708</v>
      </c>
      <c r="C43" s="24" t="s">
        <v>97</v>
      </c>
      <c r="D43" s="2" t="s">
        <v>39</v>
      </c>
      <c r="E43" s="23" t="s">
        <v>71</v>
      </c>
      <c r="F43" s="24" t="s">
        <v>8</v>
      </c>
      <c r="G43" s="24" t="s">
        <v>58</v>
      </c>
      <c r="H43" s="27" t="s">
        <v>62</v>
      </c>
      <c r="I43" s="7">
        <v>0.45</v>
      </c>
      <c r="J43" s="8">
        <v>5.1599000000000004</v>
      </c>
      <c r="K43" s="9" t="s">
        <v>10</v>
      </c>
      <c r="L43" s="21" t="s">
        <v>11</v>
      </c>
      <c r="M43" s="31">
        <f>+VLOOKUP(B43,[1]Hoja1!$B$2:$H$289,7,0)</f>
        <v>6848.76</v>
      </c>
      <c r="N43" s="29">
        <f t="shared" si="4"/>
        <v>4.5658400000000006</v>
      </c>
      <c r="O43" s="29">
        <f t="shared" si="5"/>
        <v>10.146311111111112</v>
      </c>
    </row>
    <row r="44" spans="2:15" x14ac:dyDescent="0.3">
      <c r="B44" s="24">
        <v>5189323</v>
      </c>
      <c r="C44" s="24" t="s">
        <v>100</v>
      </c>
      <c r="D44" s="2" t="s">
        <v>43</v>
      </c>
      <c r="E44" s="24" t="s">
        <v>64</v>
      </c>
      <c r="F44" s="24" t="s">
        <v>8</v>
      </c>
      <c r="G44" s="24" t="s">
        <v>57</v>
      </c>
      <c r="H44" s="23">
        <v>5182214</v>
      </c>
      <c r="I44" s="7">
        <v>16.8</v>
      </c>
      <c r="J44" s="8">
        <v>74.825400000000002</v>
      </c>
      <c r="K44" s="9" t="s">
        <v>10</v>
      </c>
      <c r="L44" s="21" t="s">
        <v>11</v>
      </c>
      <c r="M44" s="31">
        <f>+VLOOKUP(B44,[1]Hoja1!$B$2:$H$289,7,0)</f>
        <v>100800.91</v>
      </c>
      <c r="N44" s="29">
        <f t="shared" si="4"/>
        <v>67.200606666666673</v>
      </c>
      <c r="O44" s="29">
        <f t="shared" si="5"/>
        <v>4.0000361111111111</v>
      </c>
    </row>
    <row r="45" spans="2:15" x14ac:dyDescent="0.3">
      <c r="B45" s="24">
        <v>5189326</v>
      </c>
      <c r="C45" s="24" t="s">
        <v>99</v>
      </c>
      <c r="D45" s="2" t="s">
        <v>53</v>
      </c>
      <c r="E45" s="24" t="s">
        <v>64</v>
      </c>
      <c r="F45" s="24" t="s">
        <v>8</v>
      </c>
      <c r="G45" s="24" t="s">
        <v>57</v>
      </c>
      <c r="H45" s="23">
        <v>5182214</v>
      </c>
      <c r="I45" s="7">
        <v>15.083</v>
      </c>
      <c r="J45" s="8">
        <v>183.4196</v>
      </c>
      <c r="K45" s="9" t="s">
        <v>10</v>
      </c>
      <c r="L45" s="21" t="s">
        <v>11</v>
      </c>
      <c r="M45" s="31">
        <f>+VLOOKUP(B45,[1]Hoja1!$B$2:$H$289,7,0)</f>
        <v>243537.45</v>
      </c>
      <c r="N45" s="29">
        <f t="shared" si="4"/>
        <v>162.35830000000001</v>
      </c>
      <c r="O45" s="29">
        <f t="shared" si="5"/>
        <v>10.764324073460187</v>
      </c>
    </row>
    <row r="46" spans="2:15" x14ac:dyDescent="0.3">
      <c r="B46" s="23">
        <v>5189311</v>
      </c>
      <c r="C46" s="23" t="s">
        <v>101</v>
      </c>
      <c r="D46" s="3" t="s">
        <v>40</v>
      </c>
      <c r="E46" s="24" t="s">
        <v>64</v>
      </c>
      <c r="F46" s="23" t="s">
        <v>8</v>
      </c>
      <c r="G46" s="23" t="s">
        <v>57</v>
      </c>
      <c r="H46" s="23">
        <v>5182214</v>
      </c>
      <c r="I46" s="10">
        <v>15.08</v>
      </c>
      <c r="J46" s="11">
        <v>68.954400000000007</v>
      </c>
      <c r="K46" s="12" t="s">
        <v>10</v>
      </c>
      <c r="L46" s="20" t="s">
        <v>11</v>
      </c>
      <c r="M46" s="31">
        <f>+VLOOKUP(B46,[1]Hoja1!$B$2:$H$289,7,0)</f>
        <v>90714.03</v>
      </c>
      <c r="N46" s="29">
        <f t="shared" si="4"/>
        <v>60.476019999999998</v>
      </c>
      <c r="O46" s="29">
        <f t="shared" si="5"/>
        <v>4.0103461538461538</v>
      </c>
    </row>
    <row r="47" spans="2:15" x14ac:dyDescent="0.3">
      <c r="B47" s="23">
        <v>5189317</v>
      </c>
      <c r="C47" s="23" t="s">
        <v>102</v>
      </c>
      <c r="D47" s="3" t="s">
        <v>41</v>
      </c>
      <c r="E47" s="24" t="s">
        <v>64</v>
      </c>
      <c r="F47" s="23" t="s">
        <v>8</v>
      </c>
      <c r="G47" s="23" t="s">
        <v>57</v>
      </c>
      <c r="H47" s="23">
        <v>5182214</v>
      </c>
      <c r="I47" s="10">
        <v>15.08</v>
      </c>
      <c r="J47" s="11">
        <v>62.653300000000002</v>
      </c>
      <c r="K47" s="12" t="s">
        <v>10</v>
      </c>
      <c r="L47" s="20" t="s">
        <v>11</v>
      </c>
      <c r="M47" s="31">
        <f>+VLOOKUP(B47,[1]Hoja1!$B$2:$H$289,7,0)</f>
        <v>80860.09</v>
      </c>
      <c r="N47" s="29">
        <f t="shared" si="4"/>
        <v>53.906726666666664</v>
      </c>
      <c r="O47" s="29">
        <f t="shared" si="5"/>
        <v>3.5747166224580016</v>
      </c>
    </row>
    <row r="48" spans="2:15" x14ac:dyDescent="0.3">
      <c r="B48" s="23">
        <v>5189324</v>
      </c>
      <c r="C48" s="23" t="s">
        <v>100</v>
      </c>
      <c r="D48" s="3" t="s">
        <v>43</v>
      </c>
      <c r="E48" s="24" t="s">
        <v>64</v>
      </c>
      <c r="F48" s="23" t="s">
        <v>8</v>
      </c>
      <c r="G48" s="23" t="s">
        <v>57</v>
      </c>
      <c r="H48" s="24">
        <v>5182215</v>
      </c>
      <c r="I48" s="10">
        <v>3.02</v>
      </c>
      <c r="J48" s="11">
        <v>13.960699999999999</v>
      </c>
      <c r="K48" s="12" t="s">
        <v>10</v>
      </c>
      <c r="L48" s="20" t="s">
        <v>11</v>
      </c>
      <c r="M48" s="31">
        <f>+VLOOKUP(B48,[1]Hoja1!$B$2:$H$289,7,0)</f>
        <v>19257.07</v>
      </c>
      <c r="N48" s="29">
        <f t="shared" ref="N48:N60" si="6">+M48/$N$1</f>
        <v>12.838046666666667</v>
      </c>
      <c r="O48" s="29">
        <f t="shared" ref="O48:O60" si="7">+N48/I48</f>
        <v>4.2510088300220747</v>
      </c>
    </row>
    <row r="49" spans="2:15" x14ac:dyDescent="0.3">
      <c r="B49" s="23">
        <v>5182214</v>
      </c>
      <c r="C49" s="23" t="s">
        <v>103</v>
      </c>
      <c r="D49" s="3" t="s">
        <v>44</v>
      </c>
      <c r="E49" s="24" t="s">
        <v>64</v>
      </c>
      <c r="F49" s="23" t="s">
        <v>8</v>
      </c>
      <c r="G49" s="23" t="s">
        <v>58</v>
      </c>
      <c r="H49" s="27" t="s">
        <v>62</v>
      </c>
      <c r="I49" s="10">
        <v>2.83</v>
      </c>
      <c r="J49" s="11">
        <v>19.0593</v>
      </c>
      <c r="K49" s="12" t="s">
        <v>10</v>
      </c>
      <c r="L49" s="20" t="s">
        <v>11</v>
      </c>
      <c r="M49" s="31">
        <f>+VLOOKUP(B49,[1]Hoja1!$B$2:$H$289,7,0)</f>
        <v>25609.68</v>
      </c>
      <c r="N49" s="29">
        <f t="shared" si="6"/>
        <v>17.073119999999999</v>
      </c>
      <c r="O49" s="29">
        <f t="shared" si="7"/>
        <v>6.032904593639576</v>
      </c>
    </row>
    <row r="50" spans="2:15" x14ac:dyDescent="0.3">
      <c r="B50" s="24">
        <v>5189312</v>
      </c>
      <c r="C50" s="24" t="s">
        <v>99</v>
      </c>
      <c r="D50" s="2" t="s">
        <v>40</v>
      </c>
      <c r="E50" s="24" t="s">
        <v>64</v>
      </c>
      <c r="F50" s="24" t="s">
        <v>8</v>
      </c>
      <c r="G50" s="24" t="s">
        <v>57</v>
      </c>
      <c r="H50" s="24">
        <v>5182215</v>
      </c>
      <c r="I50" s="7">
        <v>2.72</v>
      </c>
      <c r="J50" s="8">
        <v>13.1595</v>
      </c>
      <c r="K50" s="9" t="s">
        <v>10</v>
      </c>
      <c r="L50" s="21" t="s">
        <v>11</v>
      </c>
      <c r="M50" s="31">
        <f>+VLOOKUP(B50,[1]Hoja1!$B$2:$H$289,7,0)</f>
        <v>17451.91</v>
      </c>
      <c r="N50" s="29">
        <f t="shared" si="6"/>
        <v>11.634606666666667</v>
      </c>
      <c r="O50" s="29">
        <f t="shared" si="7"/>
        <v>4.2774289215686272</v>
      </c>
    </row>
    <row r="51" spans="2:15" x14ac:dyDescent="0.3">
      <c r="B51" s="24">
        <v>5237561</v>
      </c>
      <c r="C51" s="24" t="s">
        <v>104</v>
      </c>
      <c r="D51" s="2" t="s">
        <v>45</v>
      </c>
      <c r="E51" s="24" t="s">
        <v>72</v>
      </c>
      <c r="F51" s="24" t="s">
        <v>12</v>
      </c>
      <c r="G51" s="24" t="s">
        <v>57</v>
      </c>
      <c r="H51" s="24">
        <v>5189357</v>
      </c>
      <c r="I51" s="7">
        <v>2.59</v>
      </c>
      <c r="J51" s="8">
        <v>10.1614</v>
      </c>
      <c r="K51" s="9" t="s">
        <v>10</v>
      </c>
      <c r="L51" s="21" t="s">
        <v>11</v>
      </c>
      <c r="M51" s="31">
        <f>+VLOOKUP(B51,[1]Hoja1!$B$2:$H$289,7,0)</f>
        <v>13335.02</v>
      </c>
      <c r="N51" s="29">
        <f t="shared" si="6"/>
        <v>8.890013333333334</v>
      </c>
      <c r="O51" s="29">
        <f t="shared" si="7"/>
        <v>3.4324375804375808</v>
      </c>
    </row>
    <row r="52" spans="2:15" x14ac:dyDescent="0.3">
      <c r="B52" s="23">
        <v>5188951</v>
      </c>
      <c r="C52" s="23" t="s">
        <v>104</v>
      </c>
      <c r="D52" s="3" t="s">
        <v>45</v>
      </c>
      <c r="E52" s="24" t="s">
        <v>72</v>
      </c>
      <c r="F52" s="23" t="s">
        <v>12</v>
      </c>
      <c r="G52" s="23" t="s">
        <v>57</v>
      </c>
      <c r="H52" s="23">
        <v>5182205</v>
      </c>
      <c r="I52" s="10">
        <v>14.4</v>
      </c>
      <c r="J52" s="11">
        <v>46.841799999999999</v>
      </c>
      <c r="K52" s="12" t="s">
        <v>10</v>
      </c>
      <c r="L52" s="20" t="s">
        <v>11</v>
      </c>
      <c r="M52" s="31">
        <f>+VLOOKUP(B52,[1]Hoja1!$B$2:$H$289,7,0)</f>
        <v>75267.11</v>
      </c>
      <c r="N52" s="29">
        <f t="shared" si="6"/>
        <v>50.17807333333333</v>
      </c>
      <c r="O52" s="29">
        <f t="shared" si="7"/>
        <v>3.4845884259259257</v>
      </c>
    </row>
    <row r="53" spans="2:15" x14ac:dyDescent="0.3">
      <c r="B53" s="24">
        <v>5189357</v>
      </c>
      <c r="C53" s="24" t="s">
        <v>105</v>
      </c>
      <c r="D53" s="2" t="s">
        <v>46</v>
      </c>
      <c r="E53" s="24" t="s">
        <v>72</v>
      </c>
      <c r="F53" s="24" t="s">
        <v>12</v>
      </c>
      <c r="G53" s="24" t="s">
        <v>58</v>
      </c>
      <c r="H53" s="27" t="s">
        <v>62</v>
      </c>
      <c r="I53" s="7">
        <v>0.72</v>
      </c>
      <c r="J53" s="8">
        <v>6.1654999999999998</v>
      </c>
      <c r="K53" s="9" t="s">
        <v>10</v>
      </c>
      <c r="L53" s="21" t="s">
        <v>11</v>
      </c>
      <c r="M53" s="31">
        <f>+VLOOKUP(B53,[1]Hoja1!$B$2:$H$289,7,0)</f>
        <v>10139.98</v>
      </c>
      <c r="N53" s="29">
        <f t="shared" si="6"/>
        <v>6.7599866666666664</v>
      </c>
      <c r="O53" s="29">
        <f t="shared" si="7"/>
        <v>9.3888703703703698</v>
      </c>
    </row>
    <row r="54" spans="2:15" x14ac:dyDescent="0.3">
      <c r="B54" s="23">
        <v>5182205</v>
      </c>
      <c r="C54" s="23" t="s">
        <v>105</v>
      </c>
      <c r="D54" s="3" t="s">
        <v>46</v>
      </c>
      <c r="E54" s="24" t="s">
        <v>72</v>
      </c>
      <c r="F54" s="23" t="s">
        <v>12</v>
      </c>
      <c r="G54" s="23" t="s">
        <v>58</v>
      </c>
      <c r="H54" s="26" t="s">
        <v>62</v>
      </c>
      <c r="I54" s="10">
        <v>4</v>
      </c>
      <c r="J54" s="11">
        <v>22.6662</v>
      </c>
      <c r="K54" s="12" t="s">
        <v>10</v>
      </c>
      <c r="L54" s="20" t="s">
        <v>11</v>
      </c>
      <c r="M54" s="31">
        <f>+VLOOKUP(B54,[1]Hoja1!$B$2:$H$289,7,0)</f>
        <v>33267.42</v>
      </c>
      <c r="N54" s="29">
        <f t="shared" si="6"/>
        <v>22.178279999999997</v>
      </c>
      <c r="O54" s="29">
        <f t="shared" si="7"/>
        <v>5.5445699999999993</v>
      </c>
    </row>
    <row r="55" spans="2:15" x14ac:dyDescent="0.3">
      <c r="B55" s="25">
        <v>5191129</v>
      </c>
      <c r="C55" s="25" t="s">
        <v>106</v>
      </c>
      <c r="D55" s="1" t="s">
        <v>47</v>
      </c>
      <c r="E55" s="25" t="s">
        <v>73</v>
      </c>
      <c r="F55" s="25" t="s">
        <v>8</v>
      </c>
      <c r="G55" s="25" t="s">
        <v>57</v>
      </c>
      <c r="H55" s="23">
        <v>5182191</v>
      </c>
      <c r="I55" s="13">
        <v>2.5920000000000001</v>
      </c>
      <c r="J55" s="14"/>
      <c r="K55" s="15"/>
      <c r="L55" s="22" t="s">
        <v>9</v>
      </c>
      <c r="M55" s="31" t="e">
        <f>+VLOOKUP(B55,[1]Hoja1!$B$2:$H$289,7,0)</f>
        <v>#N/A</v>
      </c>
      <c r="N55" s="29" t="e">
        <f t="shared" si="6"/>
        <v>#N/A</v>
      </c>
      <c r="O55" s="29" t="e">
        <f t="shared" si="7"/>
        <v>#N/A</v>
      </c>
    </row>
    <row r="56" spans="2:15" x14ac:dyDescent="0.3">
      <c r="B56" s="23">
        <v>5189383</v>
      </c>
      <c r="C56" s="23" t="s">
        <v>107</v>
      </c>
      <c r="D56" s="3" t="s">
        <v>48</v>
      </c>
      <c r="E56" s="25" t="s">
        <v>73</v>
      </c>
      <c r="F56" s="23" t="s">
        <v>8</v>
      </c>
      <c r="G56" s="23" t="s">
        <v>57</v>
      </c>
      <c r="H56" s="23">
        <v>5182191</v>
      </c>
      <c r="I56" s="10">
        <v>2.7719999999999998</v>
      </c>
      <c r="J56" s="11">
        <v>0.32579999999999998</v>
      </c>
      <c r="K56" s="12" t="s">
        <v>10</v>
      </c>
      <c r="L56" s="20" t="s">
        <v>11</v>
      </c>
      <c r="M56" s="31">
        <f>+VLOOKUP(B56,[1]Hoja1!$B$2:$H$289,7,0)</f>
        <v>187.36</v>
      </c>
      <c r="N56" s="29">
        <f t="shared" si="6"/>
        <v>0.12490666666666668</v>
      </c>
      <c r="O56" s="29">
        <f t="shared" si="7"/>
        <v>4.5060125060125071E-2</v>
      </c>
    </row>
    <row r="57" spans="2:15" x14ac:dyDescent="0.3">
      <c r="B57" s="25">
        <v>5234418</v>
      </c>
      <c r="C57" s="25" t="s">
        <v>107</v>
      </c>
      <c r="D57" s="1" t="s">
        <v>48</v>
      </c>
      <c r="E57" s="25" t="s">
        <v>73</v>
      </c>
      <c r="F57" s="25" t="s">
        <v>8</v>
      </c>
      <c r="G57" s="25" t="s">
        <v>57</v>
      </c>
      <c r="H57" s="24">
        <v>5234419</v>
      </c>
      <c r="I57" s="13">
        <v>15.4</v>
      </c>
      <c r="J57" s="14"/>
      <c r="K57" s="15"/>
      <c r="L57" s="22" t="s">
        <v>9</v>
      </c>
      <c r="M57" s="31" t="e">
        <f>+VLOOKUP(B57,[1]Hoja1!$B$2:$H$289,7,0)</f>
        <v>#N/A</v>
      </c>
      <c r="N57" s="29" t="e">
        <f t="shared" si="6"/>
        <v>#N/A</v>
      </c>
      <c r="O57" s="29" t="e">
        <f t="shared" si="7"/>
        <v>#N/A</v>
      </c>
    </row>
    <row r="58" spans="2:15" x14ac:dyDescent="0.3">
      <c r="B58" s="23">
        <v>5189385</v>
      </c>
      <c r="C58" s="23" t="s">
        <v>108</v>
      </c>
      <c r="D58" s="3" t="s">
        <v>49</v>
      </c>
      <c r="E58" s="25" t="s">
        <v>73</v>
      </c>
      <c r="F58" s="23" t="s">
        <v>8</v>
      </c>
      <c r="G58" s="23" t="s">
        <v>57</v>
      </c>
      <c r="H58" s="23">
        <v>5182191</v>
      </c>
      <c r="I58" s="10">
        <v>2.5920000000000001</v>
      </c>
      <c r="J58" s="11">
        <v>14.584</v>
      </c>
      <c r="K58" s="12" t="s">
        <v>10</v>
      </c>
      <c r="L58" s="20" t="s">
        <v>11</v>
      </c>
      <c r="M58" s="31">
        <f>+VLOOKUP(B58,[1]Hoja1!$B$2:$H$289,7,0)</f>
        <v>19239.68</v>
      </c>
      <c r="N58" s="29">
        <f t="shared" si="6"/>
        <v>12.826453333333333</v>
      </c>
      <c r="O58" s="29">
        <f t="shared" si="7"/>
        <v>4.948477366255144</v>
      </c>
    </row>
    <row r="59" spans="2:15" x14ac:dyDescent="0.3">
      <c r="B59" s="23">
        <v>5182191</v>
      </c>
      <c r="C59" s="23" t="s">
        <v>109</v>
      </c>
      <c r="D59" s="3" t="s">
        <v>50</v>
      </c>
      <c r="E59" s="23" t="s">
        <v>73</v>
      </c>
      <c r="F59" s="23" t="s">
        <v>8</v>
      </c>
      <c r="G59" s="23" t="s">
        <v>58</v>
      </c>
      <c r="H59" s="23" t="s">
        <v>62</v>
      </c>
      <c r="I59" s="10">
        <v>0.72</v>
      </c>
      <c r="J59" s="11">
        <v>8.1258999999999997</v>
      </c>
      <c r="K59" s="12" t="s">
        <v>10</v>
      </c>
      <c r="L59" s="20" t="s">
        <v>11</v>
      </c>
      <c r="M59" s="31">
        <f>+VLOOKUP(B59,[1]Hoja1!$B$2:$H$289,7,0)</f>
        <v>10867.78</v>
      </c>
      <c r="N59" s="31">
        <f t="shared" si="6"/>
        <v>7.2451866666666671</v>
      </c>
      <c r="O59" s="31">
        <f t="shared" si="7"/>
        <v>10.062759259259261</v>
      </c>
    </row>
    <row r="60" spans="2:15" x14ac:dyDescent="0.3">
      <c r="B60" s="24">
        <v>5234419</v>
      </c>
      <c r="C60" s="24" t="s">
        <v>109</v>
      </c>
      <c r="D60" s="2" t="s">
        <v>50</v>
      </c>
      <c r="E60" s="23" t="s">
        <v>73</v>
      </c>
      <c r="F60" s="24" t="s">
        <v>8</v>
      </c>
      <c r="G60" s="24" t="s">
        <v>58</v>
      </c>
      <c r="H60" s="24" t="s">
        <v>62</v>
      </c>
      <c r="I60" s="7">
        <v>4</v>
      </c>
      <c r="J60" s="8"/>
      <c r="K60" s="9"/>
      <c r="L60" s="21" t="s">
        <v>9</v>
      </c>
      <c r="M60" s="31" t="e">
        <f>+VLOOKUP(B60,[1]Hoja1!$B$2:$H$289,7,0)</f>
        <v>#N/A</v>
      </c>
      <c r="N60" s="33" t="e">
        <f t="shared" si="6"/>
        <v>#N/A</v>
      </c>
      <c r="O60" s="33" t="e">
        <f t="shared" si="7"/>
        <v>#N/A</v>
      </c>
    </row>
    <row r="61" spans="2:15" x14ac:dyDescent="0.3">
      <c r="B61" s="23">
        <v>5189208</v>
      </c>
      <c r="C61" s="23" t="s">
        <v>84</v>
      </c>
      <c r="D61" s="3" t="s">
        <v>52</v>
      </c>
      <c r="E61" s="23" t="s">
        <v>66</v>
      </c>
      <c r="F61" s="23" t="s">
        <v>8</v>
      </c>
      <c r="G61" s="23" t="s">
        <v>58</v>
      </c>
      <c r="H61" s="23" t="s">
        <v>62</v>
      </c>
      <c r="I61" s="10"/>
      <c r="J61" s="11"/>
      <c r="K61" s="12"/>
      <c r="L61" s="20" t="s">
        <v>9</v>
      </c>
      <c r="M61" s="31">
        <f>+VLOOKUP(B61,[1]Hoja1!$B$2:$H$289,7,0)</f>
        <v>995.57</v>
      </c>
      <c r="N61" s="31">
        <f t="shared" ref="N61:N64" si="8">+M61/$N$1</f>
        <v>0.66371333333333338</v>
      </c>
      <c r="O61" s="31" t="e">
        <f t="shared" ref="O61:O64" si="9">+N61/I61</f>
        <v>#DIV/0!</v>
      </c>
    </row>
    <row r="62" spans="2:15" x14ac:dyDescent="0.3">
      <c r="B62" s="24">
        <v>5189318</v>
      </c>
      <c r="C62" s="24" t="s">
        <v>102</v>
      </c>
      <c r="D62" s="2" t="s">
        <v>41</v>
      </c>
      <c r="E62" s="23" t="s">
        <v>64</v>
      </c>
      <c r="F62" s="24" t="s">
        <v>8</v>
      </c>
      <c r="G62" s="24" t="s">
        <v>57</v>
      </c>
      <c r="H62" s="24">
        <v>5182215</v>
      </c>
      <c r="I62" s="7">
        <v>2.72</v>
      </c>
      <c r="J62" s="8">
        <v>12.757999999999999</v>
      </c>
      <c r="K62" s="9" t="s">
        <v>10</v>
      </c>
      <c r="L62" s="21" t="s">
        <v>11</v>
      </c>
      <c r="M62" s="31">
        <f>+VLOOKUP(B62,[1]Hoja1!$B$2:$H$289,7,0)</f>
        <v>17289.82</v>
      </c>
      <c r="N62" s="33">
        <f t="shared" si="8"/>
        <v>11.526546666666666</v>
      </c>
      <c r="O62" s="33">
        <f t="shared" si="9"/>
        <v>4.2377009803921561</v>
      </c>
    </row>
    <row r="63" spans="2:15" x14ac:dyDescent="0.3">
      <c r="B63" s="23">
        <v>5189327</v>
      </c>
      <c r="C63" s="23" t="s">
        <v>101</v>
      </c>
      <c r="D63" s="3" t="s">
        <v>42</v>
      </c>
      <c r="E63" s="23" t="s">
        <v>64</v>
      </c>
      <c r="F63" s="23" t="s">
        <v>8</v>
      </c>
      <c r="G63" s="23" t="s">
        <v>57</v>
      </c>
      <c r="H63" s="23">
        <v>5182215</v>
      </c>
      <c r="I63" s="10">
        <v>2.72</v>
      </c>
      <c r="J63" s="11">
        <v>0.5978</v>
      </c>
      <c r="K63" s="12" t="s">
        <v>10</v>
      </c>
      <c r="L63" s="20" t="s">
        <v>11</v>
      </c>
      <c r="M63" s="31">
        <f>+VLOOKUP(B63,[1]Hoja1!$B$2:$H$289,7,0)</f>
        <v>555.63</v>
      </c>
      <c r="N63" s="31">
        <f t="shared" si="8"/>
        <v>0.37041999999999997</v>
      </c>
      <c r="O63" s="31">
        <f t="shared" si="9"/>
        <v>0.13618382352941175</v>
      </c>
    </row>
    <row r="64" spans="2:15" x14ac:dyDescent="0.3">
      <c r="B64" s="23">
        <v>5182215</v>
      </c>
      <c r="C64" s="23" t="s">
        <v>103</v>
      </c>
      <c r="D64" s="3" t="s">
        <v>44</v>
      </c>
      <c r="E64" s="23" t="s">
        <v>64</v>
      </c>
      <c r="F64" s="23" t="s">
        <v>8</v>
      </c>
      <c r="G64" s="23" t="s">
        <v>58</v>
      </c>
      <c r="H64" s="23" t="s">
        <v>62</v>
      </c>
      <c r="I64" s="10">
        <v>0.51</v>
      </c>
      <c r="J64" s="11">
        <v>4.9269999999999996</v>
      </c>
      <c r="K64" s="12" t="s">
        <v>10</v>
      </c>
      <c r="L64" s="20" t="s">
        <v>11</v>
      </c>
      <c r="M64" s="31">
        <f>+VLOOKUP(B64,[1]Hoja1!$B$2:$H$289,7,0)</f>
        <v>6344.27</v>
      </c>
      <c r="N64" s="31">
        <f t="shared" si="8"/>
        <v>4.2295133333333332</v>
      </c>
      <c r="O64" s="31">
        <f t="shared" si="9"/>
        <v>8.2931633986928102</v>
      </c>
    </row>
    <row r="65" spans="2:15" x14ac:dyDescent="0.3">
      <c r="B65" s="24">
        <v>5182971</v>
      </c>
      <c r="C65" s="24" t="s">
        <v>126</v>
      </c>
      <c r="D65" s="2" t="s">
        <v>110</v>
      </c>
      <c r="E65" s="23" t="s">
        <v>111</v>
      </c>
      <c r="F65" s="24" t="s">
        <v>8</v>
      </c>
      <c r="G65" s="24"/>
      <c r="H65" s="24" t="s">
        <v>62</v>
      </c>
      <c r="I65" s="7">
        <v>4</v>
      </c>
      <c r="J65" s="8"/>
      <c r="K65" s="9" t="s">
        <v>10</v>
      </c>
      <c r="L65" s="21"/>
      <c r="M65" s="31">
        <v>7056.89</v>
      </c>
      <c r="N65" s="33">
        <v>4.7</v>
      </c>
      <c r="O65" s="33">
        <v>1.18</v>
      </c>
    </row>
    <row r="66" spans="2:15" x14ac:dyDescent="0.3">
      <c r="B66" s="23">
        <v>5188990</v>
      </c>
      <c r="C66" s="23" t="s">
        <v>127</v>
      </c>
      <c r="D66" s="3" t="s">
        <v>112</v>
      </c>
      <c r="E66" s="23" t="s">
        <v>111</v>
      </c>
      <c r="F66" s="23" t="s">
        <v>8</v>
      </c>
      <c r="G66" s="23" t="s">
        <v>59</v>
      </c>
      <c r="H66" s="23" t="s">
        <v>62</v>
      </c>
      <c r="I66" s="10">
        <v>4</v>
      </c>
      <c r="J66" s="11">
        <v>43.887300000000003</v>
      </c>
      <c r="K66" s="12" t="s">
        <v>10</v>
      </c>
      <c r="L66" s="20"/>
      <c r="M66" s="31">
        <v>58237</v>
      </c>
      <c r="N66" s="31">
        <v>38.82</v>
      </c>
      <c r="O66" s="31">
        <v>9.7100000000000009</v>
      </c>
    </row>
    <row r="67" spans="2:15" x14ac:dyDescent="0.3">
      <c r="B67" s="24">
        <v>5188991</v>
      </c>
      <c r="C67" s="24" t="s">
        <v>128</v>
      </c>
      <c r="D67" s="2" t="s">
        <v>113</v>
      </c>
      <c r="E67" s="23" t="s">
        <v>111</v>
      </c>
      <c r="F67" s="24" t="s">
        <v>8</v>
      </c>
      <c r="G67" s="24" t="s">
        <v>59</v>
      </c>
      <c r="H67" s="24" t="s">
        <v>62</v>
      </c>
      <c r="I67" s="7">
        <v>4</v>
      </c>
      <c r="J67" s="8">
        <v>65.043199999999999</v>
      </c>
      <c r="K67" s="9" t="s">
        <v>10</v>
      </c>
      <c r="L67" s="21"/>
      <c r="M67" s="31">
        <v>89851.94</v>
      </c>
      <c r="N67" s="33">
        <v>59.9</v>
      </c>
      <c r="O67" s="33">
        <v>14.98</v>
      </c>
    </row>
    <row r="68" spans="2:15" x14ac:dyDescent="0.3">
      <c r="B68" s="23">
        <v>5188992</v>
      </c>
      <c r="C68" s="23" t="s">
        <v>129</v>
      </c>
      <c r="D68" s="3" t="s">
        <v>114</v>
      </c>
      <c r="E68" s="23" t="s">
        <v>111</v>
      </c>
      <c r="F68" s="23" t="s">
        <v>8</v>
      </c>
      <c r="G68" s="23" t="s">
        <v>59</v>
      </c>
      <c r="H68" s="23" t="s">
        <v>62</v>
      </c>
      <c r="I68" s="10">
        <v>4</v>
      </c>
      <c r="J68" s="11">
        <v>50.782400000000003</v>
      </c>
      <c r="K68" s="12" t="s">
        <v>10</v>
      </c>
      <c r="L68" s="20" t="s">
        <v>11</v>
      </c>
      <c r="M68" s="31">
        <v>60232.6</v>
      </c>
      <c r="N68" s="31">
        <v>40.159999999999997</v>
      </c>
      <c r="O68" s="31">
        <v>10.039999999999999</v>
      </c>
    </row>
    <row r="69" spans="2:15" x14ac:dyDescent="0.3">
      <c r="B69" s="23">
        <v>5188993</v>
      </c>
      <c r="C69" s="23" t="s">
        <v>137</v>
      </c>
      <c r="D69" s="3" t="s">
        <v>115</v>
      </c>
      <c r="E69" s="23" t="s">
        <v>111</v>
      </c>
      <c r="F69" s="23" t="s">
        <v>8</v>
      </c>
      <c r="G69" s="23" t="s">
        <v>59</v>
      </c>
      <c r="H69" s="23" t="s">
        <v>62</v>
      </c>
      <c r="I69" s="10">
        <v>4</v>
      </c>
      <c r="J69" s="11">
        <v>62.894199999999998</v>
      </c>
      <c r="K69" s="12" t="s">
        <v>10</v>
      </c>
      <c r="L69" s="20"/>
      <c r="M69" s="31">
        <v>85965.57</v>
      </c>
      <c r="N69" s="31">
        <v>57.31</v>
      </c>
      <c r="O69" s="31">
        <v>14.33</v>
      </c>
    </row>
    <row r="70" spans="2:15" x14ac:dyDescent="0.3">
      <c r="B70" s="24">
        <v>5188994</v>
      </c>
      <c r="C70" s="24" t="s">
        <v>130</v>
      </c>
      <c r="D70" s="2" t="s">
        <v>116</v>
      </c>
      <c r="E70" s="23" t="s">
        <v>111</v>
      </c>
      <c r="F70" s="24" t="s">
        <v>8</v>
      </c>
      <c r="G70" s="24" t="s">
        <v>59</v>
      </c>
      <c r="H70" s="24" t="s">
        <v>62</v>
      </c>
      <c r="I70" s="7">
        <v>4</v>
      </c>
      <c r="J70" s="8">
        <v>99.1768</v>
      </c>
      <c r="K70" s="9" t="s">
        <v>10</v>
      </c>
      <c r="L70" s="21" t="s">
        <v>11</v>
      </c>
      <c r="M70" s="31">
        <v>139686.67000000001</v>
      </c>
      <c r="N70" s="33">
        <v>93.12</v>
      </c>
      <c r="O70" s="33">
        <v>23.28</v>
      </c>
    </row>
    <row r="71" spans="2:15" x14ac:dyDescent="0.3">
      <c r="B71" s="23">
        <v>5188995</v>
      </c>
      <c r="C71" s="23" t="s">
        <v>131</v>
      </c>
      <c r="D71" s="3" t="s">
        <v>117</v>
      </c>
      <c r="E71" s="23" t="s">
        <v>111</v>
      </c>
      <c r="F71" s="23" t="s">
        <v>8</v>
      </c>
      <c r="G71" s="23" t="s">
        <v>59</v>
      </c>
      <c r="H71" s="23" t="s">
        <v>62</v>
      </c>
      <c r="I71" s="10">
        <v>4</v>
      </c>
      <c r="J71" s="11">
        <v>30.009499999999999</v>
      </c>
      <c r="K71" s="12" t="s">
        <v>10</v>
      </c>
      <c r="L71" s="20"/>
      <c r="M71" s="31">
        <v>39708.519999999997</v>
      </c>
      <c r="N71" s="31">
        <v>26.47</v>
      </c>
      <c r="O71" s="31">
        <v>6.62</v>
      </c>
    </row>
    <row r="72" spans="2:15" x14ac:dyDescent="0.3">
      <c r="B72" s="24">
        <v>5188996</v>
      </c>
      <c r="C72" s="24" t="s">
        <v>132</v>
      </c>
      <c r="D72" s="2" t="s">
        <v>118</v>
      </c>
      <c r="E72" s="23" t="s">
        <v>111</v>
      </c>
      <c r="F72" s="24" t="s">
        <v>8</v>
      </c>
      <c r="G72" s="24" t="s">
        <v>59</v>
      </c>
      <c r="H72" s="24" t="s">
        <v>62</v>
      </c>
      <c r="I72" s="7">
        <v>4</v>
      </c>
      <c r="J72" s="8">
        <v>76.933800000000005</v>
      </c>
      <c r="K72" s="9" t="s">
        <v>10</v>
      </c>
      <c r="L72" s="21"/>
      <c r="M72" s="31">
        <v>103034.38</v>
      </c>
      <c r="N72" s="33">
        <v>68.69</v>
      </c>
      <c r="O72" s="33">
        <v>17.170000000000002</v>
      </c>
    </row>
    <row r="73" spans="2:15" x14ac:dyDescent="0.3">
      <c r="B73" s="23">
        <v>5188997</v>
      </c>
      <c r="C73" s="23" t="s">
        <v>133</v>
      </c>
      <c r="D73" s="3" t="s">
        <v>119</v>
      </c>
      <c r="E73" s="23" t="s">
        <v>111</v>
      </c>
      <c r="F73" s="23" t="s">
        <v>8</v>
      </c>
      <c r="G73" s="23" t="s">
        <v>59</v>
      </c>
      <c r="H73" s="23" t="s">
        <v>62</v>
      </c>
      <c r="I73" s="10">
        <v>4</v>
      </c>
      <c r="J73" s="11">
        <v>92.742699999999999</v>
      </c>
      <c r="K73" s="12" t="s">
        <v>10</v>
      </c>
      <c r="L73" s="20"/>
      <c r="M73" s="31">
        <v>119600.78</v>
      </c>
      <c r="N73" s="31">
        <v>79.73</v>
      </c>
      <c r="O73" s="31">
        <v>19.93</v>
      </c>
    </row>
    <row r="74" spans="2:15" x14ac:dyDescent="0.3">
      <c r="B74" s="23">
        <v>5188998</v>
      </c>
      <c r="C74" s="23" t="s">
        <v>125</v>
      </c>
      <c r="D74" s="3" t="s">
        <v>120</v>
      </c>
      <c r="E74" s="23" t="s">
        <v>111</v>
      </c>
      <c r="F74" s="23" t="s">
        <v>8</v>
      </c>
      <c r="G74" s="23" t="s">
        <v>59</v>
      </c>
      <c r="H74" s="23" t="s">
        <v>62</v>
      </c>
      <c r="I74" s="10">
        <v>4</v>
      </c>
      <c r="J74" s="11"/>
      <c r="K74" s="12" t="s">
        <v>10</v>
      </c>
      <c r="L74" s="20"/>
      <c r="M74" s="31">
        <v>99199.14</v>
      </c>
      <c r="N74" s="31">
        <v>66.13</v>
      </c>
      <c r="O74" s="31">
        <v>16.53</v>
      </c>
    </row>
    <row r="75" spans="2:15" x14ac:dyDescent="0.3">
      <c r="B75" s="24">
        <v>5188999</v>
      </c>
      <c r="C75" s="24" t="s">
        <v>134</v>
      </c>
      <c r="D75" s="2" t="s">
        <v>121</v>
      </c>
      <c r="E75" s="23" t="s">
        <v>111</v>
      </c>
      <c r="F75" s="24" t="s">
        <v>8</v>
      </c>
      <c r="G75" s="24" t="s">
        <v>59</v>
      </c>
      <c r="H75" s="24" t="s">
        <v>62</v>
      </c>
      <c r="I75" s="7">
        <v>4</v>
      </c>
      <c r="J75" s="8">
        <v>91.6</v>
      </c>
      <c r="K75" s="9" t="s">
        <v>10</v>
      </c>
      <c r="L75" s="21"/>
      <c r="M75" s="31">
        <v>122434.69</v>
      </c>
      <c r="N75" s="33">
        <v>81.62</v>
      </c>
      <c r="O75" s="33">
        <v>20.41</v>
      </c>
    </row>
    <row r="76" spans="2:15" x14ac:dyDescent="0.3">
      <c r="B76" s="23">
        <v>5189000</v>
      </c>
      <c r="C76" s="23" t="s">
        <v>135</v>
      </c>
      <c r="D76" s="3" t="s">
        <v>122</v>
      </c>
      <c r="E76" s="23" t="s">
        <v>111</v>
      </c>
      <c r="F76" s="23" t="s">
        <v>8</v>
      </c>
      <c r="G76" s="23" t="s">
        <v>59</v>
      </c>
      <c r="H76" s="23" t="s">
        <v>62</v>
      </c>
      <c r="I76" s="10">
        <v>4</v>
      </c>
      <c r="J76" s="11">
        <v>102.8304</v>
      </c>
      <c r="K76" s="12" t="s">
        <v>10</v>
      </c>
      <c r="L76" s="20"/>
      <c r="M76" s="31">
        <v>80763.929999999993</v>
      </c>
      <c r="N76" s="31">
        <v>53.84</v>
      </c>
      <c r="O76" s="31">
        <v>13.46</v>
      </c>
    </row>
    <row r="77" spans="2:15" x14ac:dyDescent="0.3">
      <c r="B77" s="24">
        <v>5189001</v>
      </c>
      <c r="C77" s="24" t="s">
        <v>136</v>
      </c>
      <c r="D77" s="2" t="s">
        <v>123</v>
      </c>
      <c r="E77" s="23" t="s">
        <v>111</v>
      </c>
      <c r="F77" s="24" t="s">
        <v>8</v>
      </c>
      <c r="G77" s="24" t="s">
        <v>59</v>
      </c>
      <c r="H77" s="24" t="s">
        <v>62</v>
      </c>
      <c r="I77" s="7">
        <v>4</v>
      </c>
      <c r="J77" s="8">
        <v>86.662099999999995</v>
      </c>
      <c r="K77" s="9" t="s">
        <v>10</v>
      </c>
      <c r="L77" s="21"/>
      <c r="M77" s="31">
        <v>121305.1</v>
      </c>
      <c r="N77" s="33">
        <v>80.87</v>
      </c>
      <c r="O77" s="33">
        <v>20.22</v>
      </c>
    </row>
    <row r="78" spans="2:15" x14ac:dyDescent="0.3">
      <c r="B78" s="23">
        <v>5832860</v>
      </c>
      <c r="C78" s="23" t="s">
        <v>125</v>
      </c>
      <c r="D78" s="3" t="s">
        <v>124</v>
      </c>
      <c r="E78" s="23" t="s">
        <v>111</v>
      </c>
      <c r="F78" s="23" t="s">
        <v>8</v>
      </c>
      <c r="G78" s="23" t="s">
        <v>59</v>
      </c>
      <c r="H78" s="23" t="s">
        <v>62</v>
      </c>
      <c r="I78" s="10">
        <v>4</v>
      </c>
      <c r="J78" s="11"/>
      <c r="K78" s="12" t="s">
        <v>10</v>
      </c>
      <c r="L78" s="20"/>
      <c r="M78" s="31">
        <v>64658.6</v>
      </c>
      <c r="N78" s="31">
        <v>43.11</v>
      </c>
      <c r="O78" s="31">
        <v>10.78</v>
      </c>
    </row>
    <row r="1048144" spans="13:13" x14ac:dyDescent="0.3">
      <c r="M1048144" s="30"/>
    </row>
    <row r="1048145" spans="13:13" x14ac:dyDescent="0.3">
      <c r="M1048145" s="31"/>
    </row>
    <row r="1048146" spans="13:13" x14ac:dyDescent="0.3">
      <c r="M1048146" s="31"/>
    </row>
    <row r="1048147" spans="13:13" x14ac:dyDescent="0.3">
      <c r="M1048147" s="31"/>
    </row>
    <row r="1048148" spans="13:13" x14ac:dyDescent="0.3">
      <c r="M1048148" s="31"/>
    </row>
    <row r="1048149" spans="13:13" x14ac:dyDescent="0.3">
      <c r="M1048149" s="33"/>
    </row>
    <row r="1048150" spans="13:13" x14ac:dyDescent="0.3">
      <c r="M1048150" s="33"/>
    </row>
    <row r="1048151" spans="13:13" x14ac:dyDescent="0.3">
      <c r="M1048151" s="31"/>
    </row>
    <row r="1048152" spans="13:13" x14ac:dyDescent="0.3">
      <c r="M1048152" s="33"/>
    </row>
    <row r="1048153" spans="13:13" x14ac:dyDescent="0.3">
      <c r="M1048153" s="31"/>
    </row>
    <row r="1048154" spans="13:13" x14ac:dyDescent="0.3">
      <c r="M1048154" s="31"/>
    </row>
    <row r="1048155" spans="13:13" x14ac:dyDescent="0.3">
      <c r="M1048155" s="33"/>
    </row>
    <row r="1048156" spans="13:13" x14ac:dyDescent="0.3">
      <c r="M1048156" s="32"/>
    </row>
    <row r="1048157" spans="13:13" x14ac:dyDescent="0.3">
      <c r="M1048157" s="31"/>
    </row>
    <row r="1048158" spans="13:13" x14ac:dyDescent="0.3">
      <c r="M1048158" s="31"/>
    </row>
    <row r="1048159" spans="13:13" x14ac:dyDescent="0.3">
      <c r="M1048159" s="31"/>
    </row>
    <row r="1048160" spans="13:13" x14ac:dyDescent="0.3">
      <c r="M1048160" s="31"/>
    </row>
    <row r="1048161" spans="13:13" x14ac:dyDescent="0.3">
      <c r="M1048161" s="33"/>
    </row>
    <row r="1048162" spans="13:13" x14ac:dyDescent="0.3">
      <c r="M1048162" s="31"/>
    </row>
    <row r="1048163" spans="13:13" x14ac:dyDescent="0.3">
      <c r="M1048163" s="31"/>
    </row>
    <row r="1048164" spans="13:13" x14ac:dyDescent="0.3">
      <c r="M1048164" s="33"/>
    </row>
    <row r="1048165" spans="13:13" x14ac:dyDescent="0.3">
      <c r="M1048165" s="31"/>
    </row>
    <row r="1048166" spans="13:13" x14ac:dyDescent="0.3">
      <c r="M1048166" s="31"/>
    </row>
    <row r="1048167" spans="13:13" x14ac:dyDescent="0.3">
      <c r="M1048167" s="33"/>
    </row>
    <row r="1048168" spans="13:13" x14ac:dyDescent="0.3">
      <c r="M1048168" s="31"/>
    </row>
    <row r="1048169" spans="13:13" x14ac:dyDescent="0.3">
      <c r="M1048169" s="31"/>
    </row>
    <row r="1048170" spans="13:13" x14ac:dyDescent="0.3">
      <c r="M1048170" s="31"/>
    </row>
    <row r="1048171" spans="13:13" x14ac:dyDescent="0.3">
      <c r="M1048171" s="33"/>
    </row>
    <row r="1048172" spans="13:13" x14ac:dyDescent="0.3">
      <c r="M1048172" s="31"/>
    </row>
    <row r="1048173" spans="13:13" x14ac:dyDescent="0.3">
      <c r="M1048173" s="33"/>
    </row>
    <row r="1048174" spans="13:13" x14ac:dyDescent="0.3">
      <c r="M1048174" s="31"/>
    </row>
    <row r="1048175" spans="13:13" x14ac:dyDescent="0.3">
      <c r="M1048175" s="33"/>
    </row>
    <row r="1048176" spans="13:13" x14ac:dyDescent="0.3">
      <c r="M1048176" s="31"/>
    </row>
    <row r="1048177" spans="13:13" x14ac:dyDescent="0.3">
      <c r="M1048177" s="32"/>
    </row>
    <row r="1048178" spans="13:13" x14ac:dyDescent="0.3">
      <c r="M1048178" s="33"/>
    </row>
    <row r="1048179" spans="13:13" x14ac:dyDescent="0.3">
      <c r="M1048179" s="32"/>
    </row>
    <row r="1048180" spans="13:13" x14ac:dyDescent="0.3">
      <c r="M1048180" s="33"/>
    </row>
    <row r="1048181" spans="13:13" x14ac:dyDescent="0.3">
      <c r="M1048181" s="33"/>
    </row>
    <row r="1048182" spans="13:13" x14ac:dyDescent="0.3">
      <c r="M1048182" s="32"/>
    </row>
    <row r="1048183" spans="13:13" x14ac:dyDescent="0.3">
      <c r="M1048183" s="33"/>
    </row>
    <row r="1048184" spans="13:13" x14ac:dyDescent="0.3">
      <c r="M1048184" s="33"/>
    </row>
    <row r="1048185" spans="13:13" x14ac:dyDescent="0.3">
      <c r="M1048185" s="31"/>
    </row>
    <row r="1048186" spans="13:13" x14ac:dyDescent="0.3">
      <c r="M1048186" s="33"/>
    </row>
    <row r="1048187" spans="13:13" x14ac:dyDescent="0.3">
      <c r="M1048187" s="31"/>
    </row>
    <row r="1048188" spans="13:13" x14ac:dyDescent="0.3">
      <c r="M1048188" s="33"/>
    </row>
    <row r="1048189" spans="13:13" x14ac:dyDescent="0.3">
      <c r="M1048189" s="31"/>
    </row>
    <row r="1048190" spans="13:13" x14ac:dyDescent="0.3">
      <c r="M1048190" s="33"/>
    </row>
    <row r="1048191" spans="13:13" x14ac:dyDescent="0.3">
      <c r="M1048191" s="31"/>
    </row>
    <row r="1048192" spans="13:13" x14ac:dyDescent="0.3">
      <c r="M1048192" s="31"/>
    </row>
    <row r="1048193" spans="13:13" x14ac:dyDescent="0.3">
      <c r="M1048193" s="33"/>
    </row>
    <row r="1048194" spans="13:13" x14ac:dyDescent="0.3">
      <c r="M1048194" s="33"/>
    </row>
    <row r="1048195" spans="13:13" x14ac:dyDescent="0.3">
      <c r="M1048195" s="31"/>
    </row>
    <row r="1048196" spans="13:13" x14ac:dyDescent="0.3">
      <c r="M1048196" s="31"/>
    </row>
    <row r="1048197" spans="13:13" x14ac:dyDescent="0.3">
      <c r="M1048197" s="31"/>
    </row>
    <row r="1048198" spans="13:13" x14ac:dyDescent="0.3">
      <c r="M1048198" s="31"/>
    </row>
    <row r="1048199" spans="13:13" x14ac:dyDescent="0.3">
      <c r="M1048199" s="31"/>
    </row>
    <row r="1048200" spans="13:13" x14ac:dyDescent="0.3">
      <c r="M1048200" s="33"/>
    </row>
    <row r="1048201" spans="13:13" x14ac:dyDescent="0.3">
      <c r="M1048201" s="33"/>
    </row>
    <row r="1048202" spans="13:13" x14ac:dyDescent="0.3">
      <c r="M1048202" s="33"/>
    </row>
    <row r="1048203" spans="13:13" x14ac:dyDescent="0.3">
      <c r="M1048203" s="33"/>
    </row>
    <row r="1048204" spans="13:13" x14ac:dyDescent="0.3">
      <c r="M1048204" s="31"/>
    </row>
    <row r="1048205" spans="13:13" x14ac:dyDescent="0.3">
      <c r="M1048205" s="33"/>
    </row>
    <row r="1048206" spans="13:13" x14ac:dyDescent="0.3">
      <c r="M1048206" s="31"/>
    </row>
    <row r="1048207" spans="13:13" x14ac:dyDescent="0.3">
      <c r="M1048207" s="33"/>
    </row>
    <row r="1048208" spans="13:13" x14ac:dyDescent="0.3">
      <c r="M1048208" s="31"/>
    </row>
    <row r="1048209" spans="13:13" x14ac:dyDescent="0.3">
      <c r="M1048209" s="33"/>
    </row>
    <row r="1048210" spans="13:13" x14ac:dyDescent="0.3">
      <c r="M1048210" s="31"/>
    </row>
    <row r="1048211" spans="13:13" x14ac:dyDescent="0.3">
      <c r="M1048211" s="33"/>
    </row>
    <row r="1048212" spans="13:13" x14ac:dyDescent="0.3">
      <c r="M1048212" s="31"/>
    </row>
    <row r="1048213" spans="13:13" x14ac:dyDescent="0.3">
      <c r="M1048213" s="33"/>
    </row>
    <row r="1048214" spans="13:13" x14ac:dyDescent="0.3">
      <c r="M1048214" s="31"/>
    </row>
    <row r="1048215" spans="13:13" x14ac:dyDescent="0.3">
      <c r="M1048215" s="33"/>
    </row>
    <row r="1048216" spans="13:13" x14ac:dyDescent="0.3">
      <c r="M1048216" s="31"/>
    </row>
    <row r="1048217" spans="13:13" x14ac:dyDescent="0.3">
      <c r="M1048217" s="32"/>
    </row>
    <row r="1048218" spans="13:13" x14ac:dyDescent="0.3">
      <c r="M1048218" s="31"/>
    </row>
    <row r="1048219" spans="13:13" x14ac:dyDescent="0.3">
      <c r="M1048219" s="33"/>
    </row>
    <row r="1048220" spans="13:13" x14ac:dyDescent="0.3">
      <c r="M1048220" s="32"/>
    </row>
    <row r="1048221" spans="13:13" x14ac:dyDescent="0.3">
      <c r="M1048221" s="33"/>
    </row>
    <row r="1048222" spans="13:13" x14ac:dyDescent="0.3">
      <c r="M1048222" s="31"/>
    </row>
    <row r="1048223" spans="13:13" x14ac:dyDescent="0.3">
      <c r="M1048223" s="33"/>
    </row>
    <row r="1048224" spans="13:13" x14ac:dyDescent="0.3">
      <c r="M1048224" s="33"/>
    </row>
    <row r="1048225" spans="13:13" x14ac:dyDescent="0.3">
      <c r="M1048225" s="31"/>
    </row>
    <row r="1048226" spans="13:13" x14ac:dyDescent="0.3">
      <c r="M1048226" s="31"/>
    </row>
    <row r="1048227" spans="13:13" x14ac:dyDescent="0.3">
      <c r="M1048227" s="31"/>
    </row>
    <row r="1048228" spans="13:13" x14ac:dyDescent="0.3">
      <c r="M1048228" s="31"/>
    </row>
    <row r="1048229" spans="13:13" x14ac:dyDescent="0.3">
      <c r="M1048229" s="31"/>
    </row>
    <row r="1048230" spans="13:13" x14ac:dyDescent="0.3">
      <c r="M1048230" s="31"/>
    </row>
    <row r="1048231" spans="13:13" x14ac:dyDescent="0.3">
      <c r="M1048231" s="33"/>
    </row>
    <row r="1048232" spans="13:13" x14ac:dyDescent="0.3">
      <c r="M1048232" s="33"/>
    </row>
    <row r="1048233" spans="13:13" x14ac:dyDescent="0.3">
      <c r="M1048233" s="33"/>
    </row>
    <row r="1048234" spans="13:13" x14ac:dyDescent="0.3">
      <c r="M1048234" s="31"/>
    </row>
    <row r="1048235" spans="13:13" x14ac:dyDescent="0.3">
      <c r="M1048235" s="33"/>
    </row>
    <row r="1048236" spans="13:13" x14ac:dyDescent="0.3">
      <c r="M1048236" s="32"/>
    </row>
    <row r="1048237" spans="13:13" x14ac:dyDescent="0.3">
      <c r="M1048237" s="33"/>
    </row>
    <row r="1048238" spans="13:13" x14ac:dyDescent="0.3">
      <c r="M1048238" s="31"/>
    </row>
    <row r="1048239" spans="13:13" x14ac:dyDescent="0.3">
      <c r="M1048239" s="33"/>
    </row>
    <row r="1048240" spans="13:13" x14ac:dyDescent="0.3">
      <c r="M1048240" s="31"/>
    </row>
    <row r="1048241" spans="13:13" x14ac:dyDescent="0.3">
      <c r="M1048241" s="33"/>
    </row>
    <row r="1048242" spans="13:13" x14ac:dyDescent="0.3">
      <c r="M1048242" s="31"/>
    </row>
    <row r="1048243" spans="13:13" x14ac:dyDescent="0.3">
      <c r="M1048243" s="32"/>
    </row>
    <row r="1048244" spans="13:13" x14ac:dyDescent="0.3">
      <c r="M1048244" s="33"/>
    </row>
    <row r="1048245" spans="13:13" x14ac:dyDescent="0.3">
      <c r="M1048245" s="33"/>
    </row>
    <row r="1048246" spans="13:13" x14ac:dyDescent="0.3">
      <c r="M1048246" s="33"/>
    </row>
    <row r="1048247" spans="13:13" x14ac:dyDescent="0.3">
      <c r="M1048247" s="33"/>
    </row>
    <row r="1048248" spans="13:13" x14ac:dyDescent="0.3">
      <c r="M1048248" s="32"/>
    </row>
    <row r="1048249" spans="13:13" x14ac:dyDescent="0.3">
      <c r="M1048249" s="31"/>
    </row>
    <row r="1048250" spans="13:13" x14ac:dyDescent="0.3">
      <c r="M1048250" s="32"/>
    </row>
    <row r="1048251" spans="13:13" x14ac:dyDescent="0.3">
      <c r="M1048251" s="31"/>
    </row>
    <row r="1048252" spans="13:13" x14ac:dyDescent="0.3">
      <c r="M1048252" s="33"/>
    </row>
    <row r="1048253" spans="13:13" x14ac:dyDescent="0.3">
      <c r="M1048253" s="31"/>
    </row>
    <row r="1048254" spans="13:13" x14ac:dyDescent="0.3">
      <c r="M1048254" s="33"/>
    </row>
    <row r="1048255" spans="13:13" x14ac:dyDescent="0.3">
      <c r="M1048255" s="33"/>
    </row>
    <row r="1048256" spans="13:13" x14ac:dyDescent="0.3">
      <c r="M1048256" s="33"/>
    </row>
    <row r="1048257" spans="13:13" x14ac:dyDescent="0.3">
      <c r="M1048257" s="32"/>
    </row>
    <row r="1048258" spans="13:13" x14ac:dyDescent="0.3">
      <c r="M1048258" s="31"/>
    </row>
    <row r="1048259" spans="13:13" x14ac:dyDescent="0.3">
      <c r="M1048259" s="32"/>
    </row>
    <row r="1048260" spans="13:13" x14ac:dyDescent="0.3">
      <c r="M1048260" s="33"/>
    </row>
    <row r="1048261" spans="13:13" x14ac:dyDescent="0.3">
      <c r="M1048261" s="33"/>
    </row>
    <row r="1048262" spans="13:13" x14ac:dyDescent="0.3">
      <c r="M1048262" s="32"/>
    </row>
  </sheetData>
  <autoFilter ref="B3:L78" xr:uid="{00000000-0009-0000-0000-000000000000}">
    <sortState xmlns:xlrd2="http://schemas.microsoft.com/office/spreadsheetml/2017/richdata2" ref="B44:L64">
      <sortCondition descending="1" ref="I3:I64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ECEFB-9777-4D8D-BE85-60DC45C8F0E0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afec85b-e817-4277-86cb-66dc7d424280}" enabled="1" method="Standard" siteId="{aab2e961-1f45-4717-9a42-8f87802af9b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Materiales IP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 Zenobi</cp:lastModifiedBy>
  <dcterms:created xsi:type="dcterms:W3CDTF">2026-08-24T16:15:23Z</dcterms:created>
  <dcterms:modified xsi:type="dcterms:W3CDTF">2026-09-17T01:21:54Z</dcterms:modified>
</cp:coreProperties>
</file>
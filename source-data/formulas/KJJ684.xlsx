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SN3PEPF00017B2C\EXCELCNV\03dbede9-d903-425f-8023-3988fafc4f71\"/>
    </mc:Choice>
  </mc:AlternateContent>
  <xr:revisionPtr revIDLastSave="0" documentId="8_{F351EAA7-9F29-4D1C-87EC-C15D76828B32}" xr6:coauthVersionLast="47" xr6:coauthVersionMax="47" xr10:uidLastSave="{00000000-0000-0000-0000-000000000000}"/>
  <bookViews>
    <workbookView xWindow="-60" yWindow="-60" windowWidth="15480" windowHeight="11640" xr2:uid="{87906E1C-1B8F-49F1-A996-B71C0F7E46E8}"/>
  </bookViews>
  <sheets>
    <sheet name="ph-1069 Ref 2" sheetId="1" r:id="rId1"/>
  </sheets>
  <definedNames>
    <definedName name="_xlnm.Print_Area" localSheetId="0">'ph-1069 Ref 2'!$A$1:$G$35</definedName>
    <definedName name="Area_impressao_IM" localSheetId="0">'ph-1069 Ref 2'!$A$10:$F$34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25" i="1"/>
  <c r="F34" i="1"/>
  <c r="B34" i="1"/>
  <c r="A34" i="1"/>
  <c r="F6" i="1"/>
  <c r="B33" i="1"/>
  <c r="C33" i="1"/>
  <c r="A33" i="1"/>
  <c r="F5" i="1"/>
  <c r="F23" i="1"/>
  <c r="F32" i="1"/>
  <c r="A32" i="1"/>
  <c r="F4" i="1"/>
  <c r="B31" i="1"/>
  <c r="C31" i="1"/>
  <c r="A31" i="1"/>
  <c r="D25" i="1"/>
  <c r="C25" i="1"/>
  <c r="B25" i="1"/>
  <c r="A25" i="1"/>
  <c r="D24" i="1"/>
  <c r="C24" i="1"/>
  <c r="B24" i="1"/>
  <c r="A24" i="1"/>
  <c r="D23" i="1"/>
  <c r="C23" i="1"/>
  <c r="B23" i="1"/>
  <c r="A23" i="1"/>
  <c r="D22" i="1"/>
  <c r="C22" i="1"/>
  <c r="B22" i="1"/>
  <c r="A22" i="1"/>
  <c r="N12" i="1"/>
  <c r="L12" i="1"/>
  <c r="F24" i="1"/>
  <c r="F33" i="1"/>
  <c r="J7" i="1"/>
  <c r="L7" i="1"/>
  <c r="N7" i="1"/>
  <c r="N11" i="1"/>
  <c r="J6" i="1"/>
  <c r="L6" i="1"/>
  <c r="L10" i="1"/>
  <c r="B32" i="1"/>
  <c r="C32" i="1"/>
  <c r="F22" i="1"/>
  <c r="F31" i="1"/>
  <c r="J5" i="1"/>
  <c r="L5" i="1"/>
  <c r="L11" i="1"/>
  <c r="N6" i="1"/>
  <c r="N10" i="1"/>
  <c r="N5" i="1"/>
  <c r="N9" i="1"/>
  <c r="L9" i="1"/>
  <c r="J4" i="1"/>
  <c r="L4" i="1"/>
  <c r="C34" i="1"/>
  <c r="N4" i="1"/>
  <c r="N8" i="1"/>
  <c r="L8" i="1"/>
</calcChain>
</file>

<file path=xl/sharedStrings.xml><?xml version="1.0" encoding="utf-8"?>
<sst xmlns="http://schemas.openxmlformats.org/spreadsheetml/2006/main" count="46" uniqueCount="31">
  <si>
    <t>Chromascan Conversao de Formula</t>
  </si>
  <si>
    <t>MCD</t>
  </si>
  <si>
    <t>Y</t>
  </si>
  <si>
    <t>1/48</t>
  </si>
  <si>
    <t>1/96</t>
  </si>
  <si>
    <t xml:space="preserve"> </t>
  </si>
  <si>
    <t>Formula p/Balde 1/48</t>
  </si>
  <si>
    <t>Formula para balde Y</t>
  </si>
  <si>
    <t>Formula para balde O</t>
  </si>
  <si>
    <t>GVA126</t>
  </si>
  <si>
    <t>GVA127</t>
  </si>
  <si>
    <t>GVA140</t>
  </si>
  <si>
    <t>GVA147</t>
  </si>
  <si>
    <t>Chromascan Formulas</t>
  </si>
  <si>
    <t>Nome cor :</t>
  </si>
  <si>
    <t>CINZA CLARO</t>
  </si>
  <si>
    <t/>
  </si>
  <si>
    <t>Codigo:</t>
  </si>
  <si>
    <t>KJJ684</t>
  </si>
  <si>
    <t>Padrao        :</t>
  </si>
  <si>
    <t>N 6.5</t>
  </si>
  <si>
    <t>Linhas:</t>
  </si>
  <si>
    <t>Interseal 1509</t>
  </si>
  <si>
    <t>Base            :</t>
  </si>
  <si>
    <t>KJA44A</t>
  </si>
  <si>
    <t>20     GALÕES       OB461418        SK1603</t>
  </si>
  <si>
    <t>FORMULA GALAO 3,6 L</t>
  </si>
  <si>
    <t>ID</t>
  </si>
  <si>
    <t>FLOZ</t>
  </si>
  <si>
    <t>ML</t>
  </si>
  <si>
    <t>FORMULA BALDE 20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</si>
</sst>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"/>
  </numFmts>
  <fonts count="11">
    <font>
      <sz val="12"/>
      <name val="Helv"/>
    </font>
    <font>
      <sz val="12"/>
      <color indexed="12"/>
      <name val="Helv"/>
    </font>
    <font>
      <b/>
      <sz val="24"/>
      <name val="Helv"/>
    </font>
    <font>
      <b/>
      <sz val="14"/>
      <name val="Helv"/>
    </font>
    <font>
      <sz val="24"/>
      <name val="Helv"/>
    </font>
    <font>
      <b/>
      <sz val="28"/>
      <name val="Helv"/>
    </font>
    <font>
      <b/>
      <sz val="12"/>
      <name val="Helv"/>
    </font>
    <font>
      <b/>
      <sz val="14"/>
      <color indexed="12"/>
      <name val="Helv"/>
    </font>
    <font>
      <b/>
      <sz val="24"/>
      <color indexed="12"/>
      <name val="Helv"/>
    </font>
    <font>
      <b/>
      <sz val="20"/>
      <name val="Helv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Protection="1">
      <protection locked="0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 applyProtection="1">
      <alignment horizontal="left"/>
      <protection locked="0"/>
    </xf>
    <xf numFmtId="0" fontId="3" fillId="0" borderId="0" xfId="0" applyFont="1" applyAlignment="1">
      <alignment horizontal="right"/>
    </xf>
    <xf numFmtId="0" fontId="8" fillId="0" borderId="0" xfId="0" applyFont="1" applyProtection="1">
      <protection locked="0"/>
    </xf>
    <xf numFmtId="0" fontId="8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64" fontId="2" fillId="0" borderId="1" xfId="0" applyNumberFormat="1" applyFont="1" applyBorder="1"/>
    <xf numFmtId="164" fontId="3" fillId="0" borderId="0" xfId="0" applyNumberFormat="1" applyFont="1"/>
    <xf numFmtId="164" fontId="2" fillId="0" borderId="1" xfId="0" applyNumberFormat="1" applyFont="1" applyBorder="1" applyAlignment="1">
      <alignment horizontal="right"/>
    </xf>
    <xf numFmtId="0" fontId="9" fillId="0" borderId="0" xfId="0" applyFont="1"/>
    <xf numFmtId="0" fontId="7" fillId="0" borderId="0" xfId="0" applyFont="1" applyProtection="1">
      <protection locked="0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FC6-12C4-4659-A89E-A568628BB99B}">
  <sheetPr syncVertical="1" syncRef="A1" transitionEvaluation="1"/>
  <dimension ref="A1:N35"/>
  <sheetViews>
    <sheetView showGridLines="0" tabSelected="1" zoomScaleNormal="100" workbookViewId="0">
      <selection activeCell="A15" sqref="A15"/>
    </sheetView>
  </sheetViews>
  <sheetFormatPr defaultColWidth="9.77734375" defaultRowHeight="15.75"/>
  <cols>
    <col min="1" max="1" width="14.6640625" customWidth="1"/>
    <col min="2" max="5" width="10.77734375" customWidth="1"/>
    <col min="6" max="6" width="13.5546875" customWidth="1"/>
    <col min="7" max="7" width="4.5546875" customWidth="1"/>
    <col min="8" max="8" width="10.77734375" customWidth="1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1" t="s">
        <v>5</v>
      </c>
      <c r="F2" s="1" t="s">
        <v>3</v>
      </c>
      <c r="J2" s="1" t="s">
        <v>6</v>
      </c>
      <c r="L2" s="1" t="s">
        <v>7</v>
      </c>
      <c r="N2" s="1" t="s">
        <v>8</v>
      </c>
    </row>
    <row r="3" spans="1:14">
      <c r="D3" s="1" t="s">
        <v>5</v>
      </c>
      <c r="E3" s="1" t="s">
        <v>5</v>
      </c>
      <c r="F3" s="1" t="s">
        <v>5</v>
      </c>
      <c r="H3" s="1" t="s">
        <v>5</v>
      </c>
    </row>
    <row r="4" spans="1:14">
      <c r="A4" s="3" t="s">
        <v>9</v>
      </c>
      <c r="B4" s="3">
        <v>1</v>
      </c>
      <c r="C4" s="3">
        <v>0</v>
      </c>
      <c r="D4">
        <v>0</v>
      </c>
      <c r="E4" s="1" t="s">
        <v>5</v>
      </c>
      <c r="F4">
        <f>((B4*48)+C4+(0.5*D4))</f>
        <v>48</v>
      </c>
      <c r="H4" s="1" t="s">
        <v>5</v>
      </c>
      <c r="J4">
        <f>(F4*5.55555555)</f>
        <v>266.6666664</v>
      </c>
      <c r="L4">
        <f>(J4/48)</f>
        <v>5.5555555500000002</v>
      </c>
      <c r="N4">
        <f>(L4)-TRUNC(L4)</f>
        <v>0.55555555000000023</v>
      </c>
    </row>
    <row r="5" spans="1:14">
      <c r="A5" s="3" t="s">
        <v>10</v>
      </c>
      <c r="B5" s="3">
        <v>0</v>
      </c>
      <c r="C5" s="3">
        <v>4</v>
      </c>
      <c r="D5">
        <v>1</v>
      </c>
      <c r="F5">
        <f>((B5*48)+C5+(0.5*D5))</f>
        <v>4.5</v>
      </c>
      <c r="J5">
        <f>(F5*5.55555555)</f>
        <v>24.999999975000001</v>
      </c>
      <c r="L5">
        <f>(J5/48)</f>
        <v>0.52083333281249999</v>
      </c>
      <c r="N5">
        <f>(L5)-TRUNC(L5)</f>
        <v>0.52083333281249999</v>
      </c>
    </row>
    <row r="6" spans="1:14">
      <c r="A6" s="3" t="s">
        <v>11</v>
      </c>
      <c r="B6" s="3">
        <v>0</v>
      </c>
      <c r="C6" s="3">
        <v>10</v>
      </c>
      <c r="D6">
        <v>0</v>
      </c>
      <c r="F6">
        <f>((B6*48)+C6+(0.5*D6))</f>
        <v>10</v>
      </c>
      <c r="J6">
        <f>(F6*5.55555555)</f>
        <v>55.555555500000004</v>
      </c>
      <c r="L6">
        <f>(J6/48)</f>
        <v>1.1574074062500002</v>
      </c>
      <c r="N6">
        <f>(L6)-TRUNC(L6)</f>
        <v>0.15740740625000016</v>
      </c>
    </row>
    <row r="7" spans="1:14">
      <c r="A7" s="3" t="s">
        <v>12</v>
      </c>
      <c r="B7" s="3">
        <v>18</v>
      </c>
      <c r="C7" s="3">
        <v>8</v>
      </c>
      <c r="D7">
        <v>0</v>
      </c>
      <c r="F7">
        <f>((B7*48)+C7+(0.5*D7))</f>
        <v>872</v>
      </c>
      <c r="J7">
        <f>(F7*5.55555555)</f>
        <v>4844.4444395999999</v>
      </c>
      <c r="L7">
        <f>(J7/48)</f>
        <v>100.92592582499999</v>
      </c>
      <c r="N7">
        <f>(L7)-TRUNC(L7)</f>
        <v>0.9259258249999931</v>
      </c>
    </row>
    <row r="8" spans="1:14">
      <c r="L8">
        <f>TRUNC(L4)</f>
        <v>5</v>
      </c>
      <c r="N8">
        <f>(N4*48)</f>
        <v>26.666666400000011</v>
      </c>
    </row>
    <row r="9" spans="1:14">
      <c r="L9">
        <f>TRUNC(L5)</f>
        <v>0</v>
      </c>
      <c r="N9">
        <f>(N5*48)</f>
        <v>24.999999975000001</v>
      </c>
    </row>
    <row r="10" spans="1:14" ht="38.25">
      <c r="A10" s="10" t="s">
        <v>13</v>
      </c>
      <c r="B10" s="8"/>
      <c r="C10" s="8"/>
      <c r="D10" s="8"/>
      <c r="E10" s="9"/>
      <c r="F10" s="5"/>
      <c r="I10" s="7"/>
      <c r="J10" s="7"/>
      <c r="K10" s="7"/>
      <c r="L10">
        <f>TRUNC(L6)</f>
        <v>1</v>
      </c>
      <c r="N10">
        <f>(N6*48)</f>
        <v>7.5555555000000076</v>
      </c>
    </row>
    <row r="11" spans="1:14">
      <c r="A11" s="9"/>
      <c r="B11" s="9"/>
      <c r="C11" s="9"/>
      <c r="D11" s="9"/>
      <c r="E11" s="9"/>
      <c r="F11" s="9"/>
      <c r="L11">
        <f>TRUNC(L7)</f>
        <v>100</v>
      </c>
      <c r="N11">
        <f>(N7*48)</f>
        <v>44.444439599999669</v>
      </c>
    </row>
    <row r="12" spans="1:14" ht="24.75">
      <c r="A12" s="11" t="s">
        <v>14</v>
      </c>
      <c r="B12" s="11" t="s">
        <v>15</v>
      </c>
      <c r="C12" s="6"/>
      <c r="D12" s="12" t="s">
        <v>16</v>
      </c>
      <c r="E12" s="13" t="s">
        <v>17</v>
      </c>
      <c r="F12" s="21" t="s">
        <v>18</v>
      </c>
      <c r="L12" t="e">
        <f>TRUNC(#REF!)</f>
        <v>#REF!</v>
      </c>
      <c r="N12" t="e">
        <f>(#REF!*48)</f>
        <v>#REF!</v>
      </c>
    </row>
    <row r="13" spans="1:14" ht="19.5">
      <c r="A13" s="6"/>
      <c r="B13" s="6"/>
      <c r="C13" s="6"/>
      <c r="D13" s="6"/>
      <c r="E13" s="6"/>
      <c r="F13" s="6"/>
    </row>
    <row r="14" spans="1:14" ht="19.5">
      <c r="A14" s="12" t="s">
        <v>19</v>
      </c>
      <c r="B14" s="12" t="s">
        <v>20</v>
      </c>
      <c r="C14" s="6"/>
      <c r="D14" s="12" t="s">
        <v>16</v>
      </c>
      <c r="E14" s="13" t="s">
        <v>21</v>
      </c>
      <c r="F14" s="22" t="s">
        <v>22</v>
      </c>
    </row>
    <row r="15" spans="1:14" ht="30.75">
      <c r="A15" s="6"/>
      <c r="B15" s="6"/>
      <c r="C15" s="6"/>
      <c r="D15" s="6"/>
      <c r="E15" s="9"/>
      <c r="F15" s="14"/>
    </row>
    <row r="16" spans="1:14" ht="21">
      <c r="A16" s="11" t="s">
        <v>23</v>
      </c>
      <c r="B16" s="23" t="s">
        <v>24</v>
      </c>
      <c r="C16" s="6"/>
      <c r="D16" s="6"/>
      <c r="E16" s="6"/>
      <c r="F16" s="6"/>
    </row>
    <row r="17" spans="1:6" ht="19.5">
      <c r="A17" s="6"/>
      <c r="B17" s="6" t="s">
        <v>25</v>
      </c>
      <c r="C17" s="6"/>
      <c r="D17" s="6"/>
      <c r="E17" s="6"/>
      <c r="F17" s="6"/>
    </row>
    <row r="18" spans="1:6" ht="19.5">
      <c r="A18" s="6"/>
      <c r="B18" s="6"/>
      <c r="C18" s="6"/>
      <c r="D18" s="6"/>
      <c r="E18" s="6"/>
      <c r="F18" s="6"/>
    </row>
    <row r="19" spans="1:6" ht="19.5">
      <c r="A19" s="11" t="s">
        <v>26</v>
      </c>
      <c r="B19" s="6"/>
      <c r="C19" s="6"/>
      <c r="D19" s="6"/>
      <c r="E19" s="6"/>
      <c r="F19" s="6"/>
    </row>
    <row r="20" spans="1:6" ht="19.5">
      <c r="A20" s="6"/>
      <c r="B20" s="6"/>
      <c r="C20" s="6"/>
      <c r="D20" s="6"/>
      <c r="E20" s="6"/>
      <c r="F20" s="6"/>
    </row>
    <row r="21" spans="1:6" ht="26.1" customHeight="1">
      <c r="A21" s="15" t="s">
        <v>27</v>
      </c>
      <c r="B21" s="15" t="s">
        <v>28</v>
      </c>
      <c r="C21" s="15" t="s">
        <v>3</v>
      </c>
      <c r="D21" s="15" t="s">
        <v>4</v>
      </c>
      <c r="E21" s="5"/>
      <c r="F21" s="16" t="s">
        <v>29</v>
      </c>
    </row>
    <row r="22" spans="1:6" ht="26.1" customHeight="1">
      <c r="A22" s="17" t="str">
        <f t="shared" ref="A22:D25" si="0">(A4)</f>
        <v>GVA126</v>
      </c>
      <c r="B22" s="17">
        <f t="shared" si="0"/>
        <v>1</v>
      </c>
      <c r="C22" s="17">
        <f t="shared" si="0"/>
        <v>0</v>
      </c>
      <c r="D22" s="17">
        <f t="shared" si="0"/>
        <v>0</v>
      </c>
      <c r="E22" s="5"/>
      <c r="F22" s="18">
        <f>(F4*29.5729)/48</f>
        <v>29.572900000000001</v>
      </c>
    </row>
    <row r="23" spans="1:6" ht="26.1" customHeight="1">
      <c r="A23" s="17" t="str">
        <f t="shared" si="0"/>
        <v>GVA127</v>
      </c>
      <c r="B23" s="17">
        <f t="shared" si="0"/>
        <v>0</v>
      </c>
      <c r="C23" s="17">
        <f t="shared" si="0"/>
        <v>4</v>
      </c>
      <c r="D23" s="17">
        <f t="shared" si="0"/>
        <v>1</v>
      </c>
      <c r="E23" s="5"/>
      <c r="F23" s="18">
        <f>(F5*29.5729)/48</f>
        <v>2.7724593749999999</v>
      </c>
    </row>
    <row r="24" spans="1:6" ht="26.1" customHeight="1">
      <c r="A24" s="17" t="str">
        <f t="shared" si="0"/>
        <v>GVA140</v>
      </c>
      <c r="B24" s="17">
        <f t="shared" si="0"/>
        <v>0</v>
      </c>
      <c r="C24" s="17">
        <f t="shared" si="0"/>
        <v>10</v>
      </c>
      <c r="D24" s="17">
        <f t="shared" si="0"/>
        <v>0</v>
      </c>
      <c r="E24" s="6"/>
      <c r="F24" s="18">
        <f>(F6*29.5729)/48</f>
        <v>6.1610208333333327</v>
      </c>
    </row>
    <row r="25" spans="1:6" ht="26.1" customHeight="1">
      <c r="A25" s="17" t="str">
        <f t="shared" si="0"/>
        <v>GVA147</v>
      </c>
      <c r="B25" s="17">
        <f t="shared" si="0"/>
        <v>18</v>
      </c>
      <c r="C25" s="17">
        <f t="shared" si="0"/>
        <v>8</v>
      </c>
      <c r="D25" s="17">
        <f t="shared" si="0"/>
        <v>0</v>
      </c>
      <c r="E25" s="5"/>
      <c r="F25" s="18">
        <f>(F7*29.5729)/48</f>
        <v>537.24101666666672</v>
      </c>
    </row>
    <row r="26" spans="1:6" ht="19.5">
      <c r="A26" s="6"/>
      <c r="B26" s="9"/>
      <c r="C26" s="6"/>
      <c r="D26" s="6"/>
      <c r="E26" s="6"/>
      <c r="F26" s="19"/>
    </row>
    <row r="27" spans="1:6" ht="26.1" customHeight="1">
      <c r="A27" s="11" t="s">
        <v>30</v>
      </c>
      <c r="B27" s="5"/>
      <c r="C27" s="6"/>
      <c r="D27" s="6"/>
      <c r="E27" s="6"/>
      <c r="F27" s="19"/>
    </row>
    <row r="28" spans="1:6" ht="5.25" customHeight="1">
      <c r="A28" s="6"/>
      <c r="B28" s="6"/>
      <c r="C28" s="6"/>
      <c r="D28" s="6"/>
      <c r="E28" s="6"/>
      <c r="F28" s="19"/>
    </row>
    <row r="29" spans="1:6">
      <c r="A29" s="9"/>
      <c r="B29" s="9"/>
      <c r="C29" s="9"/>
      <c r="D29" s="9"/>
      <c r="E29" s="9"/>
      <c r="F29" s="9"/>
    </row>
    <row r="30" spans="1:6" ht="26.1" customHeight="1">
      <c r="A30" s="15" t="s">
        <v>27</v>
      </c>
      <c r="B30" s="15" t="s">
        <v>28</v>
      </c>
      <c r="C30" s="15" t="s">
        <v>3</v>
      </c>
      <c r="D30" s="16" t="s">
        <v>4</v>
      </c>
      <c r="E30" s="5"/>
      <c r="F30" s="20" t="s">
        <v>29</v>
      </c>
    </row>
    <row r="31" spans="1:6" ht="26.1" customHeight="1">
      <c r="A31" s="17" t="str">
        <f>(A4)</f>
        <v>GVA126</v>
      </c>
      <c r="B31" s="18">
        <f>(TRUNC((F4*5.555555)/48))</f>
        <v>5</v>
      </c>
      <c r="C31" s="18">
        <f>((F4*5.555555)-(B31*48))</f>
        <v>26.666640000000029</v>
      </c>
      <c r="D31" s="17">
        <v>0</v>
      </c>
      <c r="E31" s="5"/>
      <c r="F31" s="18">
        <f>(F22*5.555555)</f>
        <v>164.29387245949999</v>
      </c>
    </row>
    <row r="32" spans="1:6" ht="26.1" customHeight="1">
      <c r="A32" s="17" t="str">
        <f>(A5)</f>
        <v>GVA127</v>
      </c>
      <c r="B32" s="18">
        <f>(TRUNC((F5*5.555555)/48))</f>
        <v>0</v>
      </c>
      <c r="C32" s="18">
        <f>((F5*5.555555)-(B32*48))</f>
        <v>24.999997499999999</v>
      </c>
      <c r="D32" s="17">
        <v>0</v>
      </c>
      <c r="E32" s="5"/>
      <c r="F32" s="18">
        <f>(F23*5.555555)</f>
        <v>15.402550543078124</v>
      </c>
    </row>
    <row r="33" spans="1:8" ht="26.1" customHeight="1">
      <c r="A33" s="17" t="str">
        <f>(A6)</f>
        <v>GVA140</v>
      </c>
      <c r="B33" s="18">
        <f>(TRUNC((F6*5.555555)/48))</f>
        <v>1</v>
      </c>
      <c r="C33" s="18">
        <f>((F6*5.555555)-(B33*48))</f>
        <v>7.5555499999999967</v>
      </c>
      <c r="D33" s="17">
        <v>0</v>
      </c>
      <c r="E33" s="6"/>
      <c r="F33" s="18">
        <f>(F24*5.555555)</f>
        <v>34.227890095729165</v>
      </c>
    </row>
    <row r="34" spans="1:8" ht="30.75">
      <c r="A34" s="17" t="str">
        <f>(A7)</f>
        <v>GVA147</v>
      </c>
      <c r="B34" s="18">
        <f>(TRUNC((F7*5.555555)/48))</f>
        <v>100</v>
      </c>
      <c r="C34" s="18">
        <f>((F7*5.555555)-(B34*48))</f>
        <v>44.443959999999606</v>
      </c>
      <c r="D34" s="17">
        <v>0</v>
      </c>
      <c r="E34" s="6"/>
      <c r="F34" s="18">
        <f>(F25*5.555555)</f>
        <v>2984.6720163475838</v>
      </c>
    </row>
    <row r="35" spans="1:8">
      <c r="F35" s="4"/>
      <c r="H35" s="4"/>
    </row>
  </sheetData>
  <phoneticPr fontId="0" type="noConversion"/>
  <pageMargins left="0.5" right="0.5" top="0.5" bottom="0.55000000000000004" header="0.49212598499999999" footer="0.49212598499999999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Freitas, Vinicius</dc:creator>
  <cp:keywords/>
  <dc:description/>
  <cp:lastModifiedBy>X</cp:lastModifiedBy>
  <cp:revision/>
  <dcterms:created xsi:type="dcterms:W3CDTF">2006-02-07T18:38:22Z</dcterms:created>
  <dcterms:modified xsi:type="dcterms:W3CDTF">2026-09-17T17:50:29Z</dcterms:modified>
  <cp:category/>
  <cp:contentStatus/>
</cp:coreProperties>
</file>